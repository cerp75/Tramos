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830"/>
  <workbookPr codeName="ThisWorkbook" hidePivotFieldList="1" defaultThemeVersion="124226"/>
  <mc:AlternateContent xmlns:mc="http://schemas.openxmlformats.org/markup-compatibility/2006">
    <mc:Choice Requires="x15">
      <x15ac:absPath xmlns:x15ac="http://schemas.microsoft.com/office/spreadsheetml/2010/11/ac" url="D:\A - BANTOTAL INC 2016\TEMPLATE BTT\"/>
    </mc:Choice>
  </mc:AlternateContent>
  <workbookProtection workbookPassword="CE28" lockStructure="1"/>
  <bookViews>
    <workbookView xWindow="3345" yWindow="270" windowWidth="15180" windowHeight="3540" tabRatio="832" activeTab="1"/>
  </bookViews>
  <sheets>
    <sheet name="Historial de Certificación " sheetId="17" r:id="rId1"/>
    <sheet name="Casos de Prueba " sheetId="9" r:id="rId2"/>
    <sheet name="Detalle General QA" sheetId="19" r:id="rId3"/>
    <sheet name="Descripción de Errores " sheetId="18" r:id="rId4"/>
  </sheets>
  <definedNames>
    <definedName name="_xlnm._FilterDatabase" localSheetId="1" hidden="1">'Casos de Prueba '!$A$4:$L$22</definedName>
    <definedName name="_Toc358154541" localSheetId="1">'Casos de Prueba '!#REF!</definedName>
    <definedName name="_xlnm.Print_Area" localSheetId="1">'Casos de Prueba '!#REF!</definedName>
  </definedNames>
  <calcPr calcId="171027"/>
</workbook>
</file>

<file path=xl/calcChain.xml><?xml version="1.0" encoding="utf-8"?>
<calcChain xmlns="http://schemas.openxmlformats.org/spreadsheetml/2006/main">
  <c r="D16" i="19" l="1"/>
  <c r="D15" i="19"/>
  <c r="D14" i="19"/>
  <c r="D13" i="19"/>
  <c r="D12" i="19"/>
  <c r="D11" i="19"/>
  <c r="D10" i="19"/>
  <c r="D17" i="19"/>
  <c r="E16" i="19" l="1"/>
  <c r="E11" i="19"/>
  <c r="E15" i="19"/>
  <c r="E14" i="19"/>
  <c r="E12" i="19"/>
  <c r="E10" i="19"/>
  <c r="E13" i="19"/>
  <c r="D18" i="19"/>
  <c r="E17" i="19" l="1"/>
</calcChain>
</file>

<file path=xl/sharedStrings.xml><?xml version="1.0" encoding="utf-8"?>
<sst xmlns="http://schemas.openxmlformats.org/spreadsheetml/2006/main" count="187" uniqueCount="83">
  <si>
    <t>Observaciones de Desarrollo</t>
  </si>
  <si>
    <t>OK</t>
  </si>
  <si>
    <t>EL</t>
  </si>
  <si>
    <t>EM</t>
  </si>
  <si>
    <t>PDTE</t>
  </si>
  <si>
    <t>NA</t>
  </si>
  <si>
    <t>N°</t>
  </si>
  <si>
    <t>Aplicación</t>
  </si>
  <si>
    <t>Caso de Prueba</t>
  </si>
  <si>
    <t>Resultado Esperado</t>
  </si>
  <si>
    <t>ID Caso de Uso</t>
  </si>
  <si>
    <t>Descripción Caso de Uso</t>
  </si>
  <si>
    <t>CU01</t>
  </si>
  <si>
    <t>CU02</t>
  </si>
  <si>
    <t>CU03</t>
  </si>
  <si>
    <t>CU04</t>
  </si>
  <si>
    <t>CU07</t>
  </si>
  <si>
    <t>CU05</t>
  </si>
  <si>
    <t>CU06</t>
  </si>
  <si>
    <t>CU08</t>
  </si>
  <si>
    <t>ISEXT</t>
  </si>
  <si>
    <t>HISTORIAL DE PLANTILLA</t>
  </si>
  <si>
    <t>Versión</t>
  </si>
  <si>
    <t>Fecha de Creación</t>
  </si>
  <si>
    <t>Creado Por</t>
  </si>
  <si>
    <t>Aprobado por</t>
  </si>
  <si>
    <t>DESCRIPCIÓN DE CADA UNO DE LOS ERRORES</t>
  </si>
  <si>
    <r>
      <rPr>
        <b/>
        <sz val="8"/>
        <rFont val="Trebuchet MS"/>
        <family val="2"/>
      </rPr>
      <t>ERRORES GRAVES</t>
    </r>
    <r>
      <rPr>
        <sz val="8"/>
        <rFont val="Trebuchet MS"/>
        <family val="2"/>
      </rPr>
      <t xml:space="preserve">:Son todos aquellos casos de prueba ejecutados y cuyo resultado impide el correcto funcionamiento de la aplicación, lo que provoca que se deba iniciar nuevamente la aplicación. Como por ejemplo, se intenta insertar un registro, pero el sistema arroja un mensaje de error, o simplemente se cae. </t>
    </r>
  </si>
  <si>
    <r>
      <rPr>
        <b/>
        <sz val="8"/>
        <rFont val="Trebuchet MS"/>
        <family val="2"/>
      </rPr>
      <t>ERRORES MEDIANOS</t>
    </r>
    <r>
      <rPr>
        <sz val="8"/>
        <rFont val="Trebuchet MS"/>
        <family val="2"/>
      </rPr>
      <t>: Son todos aquellos casos de prueba ejecutados y cuyo resultado no se comporta de acuerdo a lo esperado, pero de igual forma se puede seguir operando con la aplicación. ej. El sistema no permite ingresar un RUT con "k" en minúscula, pero si se puede ingresar con "K" mayúsculas, etc...</t>
    </r>
  </si>
  <si>
    <t xml:space="preserve">APLICACIÓN -&gt;                                       </t>
  </si>
  <si>
    <t xml:space="preserve">PACKAGED -&gt;                                          </t>
  </si>
  <si>
    <t xml:space="preserve">NOMBRE USUARIO -&gt;                            </t>
  </si>
  <si>
    <t xml:space="preserve">ANALISTA QA LOS HÉROES  -&gt;             </t>
  </si>
  <si>
    <t>Errores Medianos</t>
  </si>
  <si>
    <t xml:space="preserve">Fecha Iteración
</t>
  </si>
  <si>
    <t>1º ITERACION</t>
  </si>
  <si>
    <t>Ejecutor de Prueba</t>
  </si>
  <si>
    <t>Resultado</t>
  </si>
  <si>
    <t>Observaciones QA</t>
  </si>
  <si>
    <t>Fecha Validación</t>
  </si>
  <si>
    <t>Se termina plan de Pruebas.</t>
  </si>
  <si>
    <t>Descripción de la Modificación</t>
  </si>
  <si>
    <t>Se trabaja en la confección del plan de pruebas.</t>
  </si>
  <si>
    <t xml:space="preserve">                          AVANCE CERTIFICACIÓN:</t>
  </si>
  <si>
    <t>Datos de Prueba</t>
  </si>
  <si>
    <t>Se envía a Usuario para validación.</t>
  </si>
  <si>
    <t>Se obtiene Ok del usuario al plan.</t>
  </si>
  <si>
    <t>Se ejecuta plan correctamente.</t>
  </si>
  <si>
    <t>Se obtiene Ok del usuario para promover a preproducción.</t>
  </si>
  <si>
    <t>Se promueve a preproducción.</t>
  </si>
  <si>
    <t>EG</t>
  </si>
  <si>
    <r>
      <rPr>
        <b/>
        <sz val="8"/>
        <rFont val="Trebuchet MS"/>
        <family val="2"/>
      </rPr>
      <t>NA:</t>
    </r>
    <r>
      <rPr>
        <sz val="8"/>
        <rFont val="Trebuchet MS"/>
        <family val="2"/>
      </rPr>
      <t xml:space="preserve"> Son aquellos casos de prueba que no deberán ser testeados pues ya no son aplicables a la actual aplicación (De acuerdo a las indicaciones del Analista funcional o Jefe de proyecto).</t>
    </r>
  </si>
  <si>
    <r>
      <rPr>
        <b/>
        <sz val="8"/>
        <rFont val="Trebuchet MS"/>
        <family val="2"/>
      </rPr>
      <t>PDTE:</t>
    </r>
    <r>
      <rPr>
        <sz val="8"/>
        <rFont val="Trebuchet MS"/>
        <family val="2"/>
      </rPr>
      <t xml:space="preserve"> Son aquellos casos de prueba que no deben ser testeados en dicha iteración pues la funcionalidad aún no ha sido implementada o no se cuenta con el Hadware para realizar las pruebas.</t>
    </r>
  </si>
  <si>
    <r>
      <rPr>
        <b/>
        <sz val="8"/>
        <rFont val="Trebuchet MS"/>
        <family val="2"/>
      </rPr>
      <t>OK:</t>
    </r>
    <r>
      <rPr>
        <sz val="8"/>
        <rFont val="Trebuchet MS"/>
        <family val="2"/>
      </rPr>
      <t xml:space="preserve"> Son todos aquellos casos de prueba ejecutados y cuyo resultado se comporta de acuerdo a lo esperado.</t>
    </r>
  </si>
  <si>
    <r>
      <rPr>
        <b/>
        <sz val="8"/>
        <rFont val="Trebuchet MS"/>
        <family val="2"/>
      </rPr>
      <t>ERRORES LEVES</t>
    </r>
    <r>
      <rPr>
        <sz val="8"/>
        <rFont val="Trebuchet MS"/>
        <family val="2"/>
      </rPr>
      <t>: Son todos aquellos casos de prueba ejecutados y cuyo resultado  no se comporta de acuerdo a lo esperado en relación a temas de forma y no de fondo, como por ejemplo, faltas de ortografías, el estándar del módulo no corresponde con lo definido en toda la aplicación, etc.</t>
    </r>
  </si>
  <si>
    <t xml:space="preserve">Errores Leves </t>
  </si>
  <si>
    <t>Pendientes</t>
  </si>
  <si>
    <t>No aplican</t>
  </si>
  <si>
    <t>Errores Graves</t>
  </si>
  <si>
    <t>OK/o</t>
  </si>
  <si>
    <r>
      <rPr>
        <b/>
        <sz val="8"/>
        <rFont val="Trebuchet MS"/>
        <family val="2"/>
      </rPr>
      <t xml:space="preserve">OK/o: </t>
    </r>
    <r>
      <rPr>
        <sz val="8"/>
        <rFont val="Trebuchet MS"/>
        <family val="2"/>
      </rPr>
      <t>Son todas aquellas pruebas que estando Ok, tienen alguna una observación de QA para ser considerada para el paso a producción.</t>
    </r>
  </si>
  <si>
    <t>Avance Pruebas QA:</t>
  </si>
  <si>
    <t>REPOSITORIO DOCUMENTACIÓN ÁREA QA:  \\LH-QAREP\Repositorio de Certificaciones QA</t>
  </si>
  <si>
    <t>Pruebas Ejecutadas&gt;</t>
  </si>
  <si>
    <t>Pruebas Iniciales-&gt;</t>
  </si>
  <si>
    <t>Flujo de Crédito Social Trabajador - CHE, EFEC y  TRANS</t>
  </si>
  <si>
    <t>Reprogramación de Crédito</t>
  </si>
  <si>
    <t xml:space="preserve">Diferimiento de Crédito </t>
  </si>
  <si>
    <t>Realizar colocación con compra de cartera por Trans y cheque, el crédito a pago es efectivo</t>
  </si>
  <si>
    <t>Realizar pago por caja de crédito</t>
  </si>
  <si>
    <t>Validación contable no debe tener impacto en sistemas existentes</t>
  </si>
  <si>
    <t>Realizar reprogramación de Crédito Trabajador Moroso rango 120 o más</t>
  </si>
  <si>
    <t>Realizar reprogramación de Crédito Pensionado Moroso rango 120 o más</t>
  </si>
  <si>
    <t>Realizar diferimiento de Crédito Trabajador Moroso con 0 mes de gracia</t>
  </si>
  <si>
    <t>Realizar diferimiento de Crédito Pensionado Moroso con 0 mes de gracia</t>
  </si>
  <si>
    <t xml:space="preserve">CTA: OP: </t>
  </si>
  <si>
    <t>Lysette Navia</t>
  </si>
  <si>
    <t>BANTOTAL WEB</t>
  </si>
  <si>
    <t>INCIDENCIA-BANTOTALWEB-485</t>
  </si>
  <si>
    <t>CAROLA ACEVEDO</t>
  </si>
  <si>
    <t>LYSETTE NAVIA</t>
  </si>
  <si>
    <t>PACKAGES - ASUNTO</t>
  </si>
  <si>
    <t>Flujo debe permanecer sin errores y guardar impresos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</si>
</sst>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2" x14ac:knownFonts="1">
    <font>
      <sz val="10"/>
      <name val="Arial"/>
    </font>
    <font>
      <sz val="8"/>
      <name val="Arial"/>
      <family val="2"/>
    </font>
    <font>
      <u/>
      <sz val="10"/>
      <color indexed="12"/>
      <name val="Arial"/>
      <family val="2"/>
    </font>
    <font>
      <sz val="10"/>
      <name val="Arial"/>
      <family val="2"/>
    </font>
    <font>
      <b/>
      <sz val="8"/>
      <color indexed="9"/>
      <name val="Trebuchet MS"/>
      <family val="2"/>
    </font>
    <font>
      <b/>
      <sz val="8"/>
      <name val="Trebuchet MS"/>
      <family val="2"/>
    </font>
    <font>
      <sz val="8"/>
      <name val="Trebuchet MS"/>
      <family val="2"/>
    </font>
    <font>
      <sz val="10"/>
      <name val="Trebuchet MS"/>
      <family val="2"/>
    </font>
    <font>
      <sz val="12"/>
      <name val="Trebuchet MS"/>
      <family val="2"/>
    </font>
    <font>
      <sz val="10"/>
      <name val="Arial Narrow"/>
      <family val="2"/>
    </font>
    <font>
      <b/>
      <sz val="10"/>
      <name val="Arial Narrow"/>
      <family val="2"/>
    </font>
    <font>
      <sz val="10"/>
      <name val="Calibri"/>
      <family val="2"/>
      <scheme val="minor"/>
    </font>
    <font>
      <b/>
      <sz val="10"/>
      <name val="Calibri"/>
      <family val="2"/>
      <scheme val="minor"/>
    </font>
    <font>
      <b/>
      <sz val="8"/>
      <color theme="0"/>
      <name val="Trebuchet MS"/>
      <family val="2"/>
    </font>
    <font>
      <b/>
      <sz val="8"/>
      <color rgb="FF0000FF"/>
      <name val="Trebuchet MS"/>
      <family val="2"/>
    </font>
    <font>
      <sz val="8"/>
      <color theme="0"/>
      <name val="Trebuchet MS"/>
      <family val="2"/>
    </font>
    <font>
      <b/>
      <u/>
      <sz val="8"/>
      <color rgb="FF0000FF"/>
      <name val="Trebuchet MS"/>
      <family val="2"/>
    </font>
    <font>
      <sz val="9"/>
      <color theme="0"/>
      <name val="Trebuchet MS"/>
      <family val="2"/>
    </font>
    <font>
      <b/>
      <sz val="10"/>
      <color indexed="9"/>
      <name val="Calibri"/>
      <family val="2"/>
      <scheme val="minor"/>
    </font>
    <font>
      <u/>
      <sz val="9"/>
      <color theme="0"/>
      <name val="Trebuchet MS"/>
      <family val="2"/>
    </font>
    <font>
      <u/>
      <sz val="8"/>
      <color theme="0"/>
      <name val="Arial Narrow"/>
      <family val="2"/>
    </font>
    <font>
      <b/>
      <sz val="12"/>
      <name val="Calibri"/>
      <family val="2"/>
      <scheme val="minor"/>
    </font>
  </fonts>
  <fills count="16">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rgb="FFFFFF99"/>
        <bgColor indexed="64"/>
      </patternFill>
    </fill>
  </fills>
  <borders count="5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indexed="64"/>
      </right>
      <top style="thin">
        <color indexed="64"/>
      </top>
      <bottom/>
      <diagonal/>
    </border>
    <border>
      <left style="thin">
        <color theme="1"/>
      </left>
      <right style="thin">
        <color indexed="64"/>
      </right>
      <top/>
      <bottom/>
      <diagonal/>
    </border>
    <border>
      <left style="thin">
        <color theme="1"/>
      </left>
      <right style="thin">
        <color indexed="64"/>
      </right>
      <top style="thin">
        <color theme="1"/>
      </top>
      <bottom/>
      <diagonal/>
    </border>
    <border>
      <left style="thin">
        <color theme="3" tint="0.39991454817346722"/>
      </left>
      <right/>
      <top style="thin">
        <color theme="3" tint="0.39988402966399123"/>
      </top>
      <bottom/>
      <diagonal/>
    </border>
    <border>
      <left/>
      <right/>
      <top style="thin">
        <color theme="3" tint="0.39988402966399123"/>
      </top>
      <bottom/>
      <diagonal/>
    </border>
    <border>
      <left style="thin">
        <color theme="3" tint="0.39991454817346722"/>
      </left>
      <right/>
      <top/>
      <bottom/>
      <diagonal/>
    </border>
    <border>
      <left style="thin">
        <color theme="3" tint="0.39991454817346722"/>
      </left>
      <right/>
      <top style="thin">
        <color theme="3" tint="0.39991454817346722"/>
      </top>
      <bottom style="thin">
        <color theme="3" tint="0.39991454817346722"/>
      </bottom>
      <diagonal/>
    </border>
    <border>
      <left style="thin">
        <color theme="3" tint="0.39991454817346722"/>
      </left>
      <right style="thin">
        <color theme="3" tint="0.39991454817346722"/>
      </right>
      <top style="thin">
        <color theme="3" tint="0.39991454817346722"/>
      </top>
      <bottom/>
      <diagonal/>
    </border>
    <border>
      <left style="thin">
        <color theme="3" tint="0.39991454817346722"/>
      </left>
      <right/>
      <top style="thin">
        <color theme="3" tint="0.39991454817346722"/>
      </top>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right style="thin">
        <color theme="1" tint="4.9989318521683403E-2"/>
      </right>
      <top style="thin">
        <color theme="1" tint="4.9989318521683403E-2"/>
      </top>
      <bottom/>
      <diagonal/>
    </border>
    <border>
      <left style="thin">
        <color theme="1" tint="4.9989318521683403E-2"/>
      </left>
      <right/>
      <top style="thin">
        <color indexed="64"/>
      </top>
      <bottom/>
      <diagonal/>
    </border>
    <border>
      <left/>
      <right style="thin">
        <color theme="1" tint="4.9989318521683403E-2"/>
      </right>
      <top style="thin">
        <color indexed="64"/>
      </top>
      <bottom style="thin">
        <color indexed="64"/>
      </bottom>
      <diagonal/>
    </border>
    <border>
      <left style="thin">
        <color theme="1" tint="4.9989318521683403E-2"/>
      </left>
      <right/>
      <top/>
      <bottom/>
      <diagonal/>
    </border>
    <border>
      <left style="thin">
        <color theme="1" tint="4.9989318521683403E-2"/>
      </left>
      <right/>
      <top/>
      <bottom style="thin">
        <color theme="1"/>
      </bottom>
      <diagonal/>
    </border>
    <border>
      <left style="thin">
        <color theme="1" tint="4.9989318521683403E-2"/>
      </left>
      <right style="thin">
        <color theme="3" tint="0.39991454817346722"/>
      </right>
      <top/>
      <bottom style="thin">
        <color theme="3" tint="0.39991454817346722"/>
      </bottom>
      <diagonal/>
    </border>
    <border>
      <left/>
      <right style="thin">
        <color theme="1" tint="4.9989318521683403E-2"/>
      </right>
      <top/>
      <bottom/>
      <diagonal/>
    </border>
    <border>
      <left style="thin">
        <color theme="1" tint="4.9989318521683403E-2"/>
      </left>
      <right style="thin">
        <color theme="3" tint="0.39991454817346722"/>
      </right>
      <top style="thin">
        <color theme="3" tint="0.39991454817346722"/>
      </top>
      <bottom style="thin">
        <color theme="3" tint="0.39991454817346722"/>
      </bottom>
      <diagonal/>
    </border>
    <border>
      <left/>
      <right style="thin">
        <color theme="1" tint="4.9989318521683403E-2"/>
      </right>
      <top style="thin">
        <color theme="3" tint="0.39988402966399123"/>
      </top>
      <bottom/>
      <diagonal/>
    </border>
    <border>
      <left style="thin">
        <color theme="1" tint="4.9989318521683403E-2"/>
      </left>
      <right/>
      <top style="thin">
        <color theme="3" tint="0.39991454817346722"/>
      </top>
      <bottom style="thin">
        <color theme="1" tint="4.9989318521683403E-2"/>
      </bottom>
      <diagonal/>
    </border>
    <border>
      <left/>
      <right/>
      <top style="thin">
        <color theme="3" tint="0.39991454817346722"/>
      </top>
      <bottom style="thin">
        <color theme="1" tint="4.9989318521683403E-2"/>
      </bottom>
      <diagonal/>
    </border>
    <border>
      <left/>
      <right style="thin">
        <color theme="1" tint="4.9989318521683403E-2"/>
      </right>
      <top style="thin">
        <color theme="3" tint="0.39991454817346722"/>
      </top>
      <bottom style="thin">
        <color theme="1" tint="4.9989318521683403E-2"/>
      </bottom>
      <diagonal/>
    </border>
    <border>
      <left style="thin">
        <color theme="1" tint="4.9989318521683403E-2"/>
      </left>
      <right style="thin">
        <color theme="3" tint="0.39991454817346722"/>
      </right>
      <top style="thin">
        <color theme="3" tint="0.39991454817346722"/>
      </top>
      <bottom/>
      <diagonal/>
    </border>
    <border>
      <left/>
      <right/>
      <top/>
      <bottom style="thin">
        <color theme="1" tint="4.9989318521683403E-2"/>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99">
    <xf numFmtId="0" fontId="0" fillId="0" borderId="0" xfId="0"/>
    <xf numFmtId="0" fontId="3" fillId="3" borderId="0" xfId="0" applyFont="1" applyFill="1" applyAlignment="1">
      <alignment vertical="center" wrapText="1"/>
    </xf>
    <xf numFmtId="0" fontId="11" fillId="2" borderId="0" xfId="0" applyFont="1" applyFill="1" applyBorder="1" applyAlignment="1">
      <alignment horizontal="center" vertical="center" wrapText="1"/>
    </xf>
    <xf numFmtId="49" fontId="11" fillId="2" borderId="0" xfId="0" applyNumberFormat="1" applyFont="1" applyFill="1" applyBorder="1" applyAlignment="1">
      <alignment horizontal="center" vertical="center" wrapText="1"/>
    </xf>
    <xf numFmtId="0" fontId="11" fillId="2" borderId="0" xfId="0" applyFont="1" applyFill="1" applyBorder="1" applyAlignment="1">
      <alignment vertical="center" wrapText="1"/>
    </xf>
    <xf numFmtId="0" fontId="12" fillId="0" borderId="20"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11" fillId="2" borderId="0" xfId="0" applyNumberFormat="1" applyFont="1" applyFill="1" applyBorder="1" applyAlignment="1">
      <alignment horizontal="center" vertical="center" wrapText="1"/>
    </xf>
    <xf numFmtId="0" fontId="11" fillId="0" borderId="21" xfId="0" applyFont="1" applyFill="1" applyBorder="1" applyAlignment="1">
      <alignment horizontal="center" vertical="center" wrapText="1"/>
    </xf>
    <xf numFmtId="0" fontId="11" fillId="0" borderId="21" xfId="0" applyFont="1" applyFill="1" applyBorder="1" applyAlignment="1">
      <alignment horizontal="center" vertical="center" wrapText="1"/>
    </xf>
    <xf numFmtId="0" fontId="0" fillId="3" borderId="0" xfId="0" applyFill="1"/>
    <xf numFmtId="0" fontId="7" fillId="3" borderId="0" xfId="0" applyFont="1" applyFill="1"/>
    <xf numFmtId="0" fontId="7" fillId="3" borderId="0" xfId="0" applyFont="1" applyFill="1" applyAlignment="1">
      <alignment vertical="center" wrapText="1"/>
    </xf>
    <xf numFmtId="0" fontId="0" fillId="3" borderId="0" xfId="0" applyFill="1" applyProtection="1"/>
    <xf numFmtId="0" fontId="13" fillId="4" borderId="1" xfId="0" applyFont="1" applyFill="1" applyBorder="1" applyAlignment="1" applyProtection="1">
      <protection locked="0"/>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24" xfId="0" applyFont="1" applyFill="1" applyBorder="1" applyAlignment="1" applyProtection="1">
      <alignment horizontal="center" vertical="center" wrapText="1"/>
      <protection locked="0"/>
    </xf>
    <xf numFmtId="0" fontId="4" fillId="4" borderId="24" xfId="0" applyNumberFormat="1" applyFont="1" applyFill="1" applyBorder="1" applyAlignment="1">
      <alignment horizontal="center" vertical="center" wrapText="1"/>
    </xf>
    <xf numFmtId="164" fontId="4" fillId="4" borderId="24" xfId="0" applyNumberFormat="1" applyFont="1" applyFill="1" applyBorder="1" applyAlignment="1">
      <alignment horizontal="center" vertical="center" wrapText="1"/>
    </xf>
    <xf numFmtId="0" fontId="5" fillId="7" borderId="3" xfId="0" applyFont="1" applyFill="1" applyBorder="1" applyAlignment="1" applyProtection="1">
      <alignment horizontal="center" vertical="center" wrapText="1"/>
    </xf>
    <xf numFmtId="0" fontId="5" fillId="8" borderId="4" xfId="0" applyFont="1" applyFill="1" applyBorder="1" applyAlignment="1" applyProtection="1">
      <alignment horizontal="center" vertical="center" wrapText="1"/>
    </xf>
    <xf numFmtId="0" fontId="5" fillId="9" borderId="4" xfId="0" applyFont="1" applyFill="1" applyBorder="1" applyAlignment="1" applyProtection="1">
      <alignment horizontal="center" vertical="center" wrapText="1"/>
    </xf>
    <xf numFmtId="0" fontId="5" fillId="10" borderId="4" xfId="0" applyFont="1" applyFill="1" applyBorder="1" applyAlignment="1" applyProtection="1">
      <alignment horizontal="center" vertical="center" wrapText="1"/>
    </xf>
    <xf numFmtId="0" fontId="5" fillId="4" borderId="4" xfId="0" applyFont="1" applyFill="1" applyBorder="1" applyAlignment="1" applyProtection="1">
      <alignment horizontal="center" vertical="center" wrapText="1"/>
    </xf>
    <xf numFmtId="0" fontId="5" fillId="11" borderId="5" xfId="0" applyFont="1" applyFill="1" applyBorder="1" applyAlignment="1" applyProtection="1">
      <alignment horizontal="center" vertical="center" wrapText="1"/>
    </xf>
    <xf numFmtId="0" fontId="5" fillId="12" borderId="4" xfId="0" applyFont="1" applyFill="1" applyBorder="1" applyAlignment="1" applyProtection="1">
      <alignment horizontal="center" vertical="center" wrapText="1"/>
    </xf>
    <xf numFmtId="0" fontId="4" fillId="4" borderId="6" xfId="0" applyFont="1" applyFill="1" applyBorder="1" applyAlignment="1" applyProtection="1">
      <alignment horizontal="center" vertical="center" wrapText="1"/>
    </xf>
    <xf numFmtId="0" fontId="6" fillId="3" borderId="6" xfId="0" applyFont="1" applyFill="1" applyBorder="1" applyAlignment="1" applyProtection="1">
      <alignment horizontal="center" vertical="center" wrapText="1"/>
    </xf>
    <xf numFmtId="0" fontId="7" fillId="3" borderId="0" xfId="0" applyFont="1" applyFill="1" applyAlignment="1" applyProtection="1">
      <alignment vertical="center" wrapText="1"/>
      <protection locked="0"/>
    </xf>
    <xf numFmtId="0" fontId="0" fillId="3" borderId="0" xfId="0" applyFill="1" applyProtection="1">
      <protection locked="0"/>
    </xf>
    <xf numFmtId="0" fontId="10" fillId="3" borderId="2" xfId="0" applyFont="1" applyFill="1" applyBorder="1" applyAlignment="1">
      <alignment horizontal="center" vertical="center" wrapText="1"/>
    </xf>
    <xf numFmtId="1" fontId="6" fillId="3" borderId="6" xfId="0" applyNumberFormat="1" applyFont="1" applyFill="1" applyBorder="1" applyAlignment="1" applyProtection="1">
      <alignment horizontal="center" vertical="center" wrapText="1"/>
    </xf>
    <xf numFmtId="14" fontId="6" fillId="3" borderId="6" xfId="0" applyNumberFormat="1" applyFont="1" applyFill="1" applyBorder="1" applyAlignment="1" applyProtection="1">
      <alignment horizontal="center" vertical="center" wrapText="1"/>
    </xf>
    <xf numFmtId="0" fontId="0" fillId="3" borderId="34" xfId="0" applyFill="1" applyBorder="1" applyProtection="1"/>
    <xf numFmtId="0" fontId="0" fillId="3" borderId="35" xfId="0" applyFill="1" applyBorder="1" applyProtection="1"/>
    <xf numFmtId="0" fontId="0" fillId="3" borderId="36" xfId="0" applyFill="1" applyBorder="1" applyProtection="1"/>
    <xf numFmtId="0" fontId="13" fillId="4" borderId="38" xfId="0" applyFont="1" applyFill="1" applyBorder="1" applyAlignment="1" applyProtection="1">
      <protection locked="0"/>
    </xf>
    <xf numFmtId="0" fontId="19" fillId="14" borderId="41" xfId="0" applyFont="1" applyFill="1" applyBorder="1" applyAlignment="1" applyProtection="1">
      <alignment horizontal="center"/>
      <protection locked="0"/>
    </xf>
    <xf numFmtId="0" fontId="6" fillId="3" borderId="43" xfId="0" applyFont="1" applyFill="1" applyBorder="1" applyProtection="1">
      <protection locked="0"/>
    </xf>
    <xf numFmtId="0" fontId="15" fillId="4" borderId="48" xfId="0" applyFont="1" applyFill="1" applyBorder="1" applyAlignment="1" applyProtection="1">
      <alignment horizontal="center"/>
      <protection locked="0"/>
    </xf>
    <xf numFmtId="0" fontId="14" fillId="3" borderId="22" xfId="0" applyFont="1" applyFill="1" applyBorder="1" applyAlignment="1" applyProtection="1">
      <alignment horizontal="center"/>
    </xf>
    <xf numFmtId="0" fontId="14" fillId="3" borderId="31" xfId="0" applyFont="1" applyFill="1" applyBorder="1" applyAlignment="1" applyProtection="1">
      <alignment horizontal="center"/>
    </xf>
    <xf numFmtId="0" fontId="14" fillId="3" borderId="33" xfId="0" applyFont="1" applyFill="1" applyBorder="1" applyAlignment="1" applyProtection="1">
      <alignment horizontal="center"/>
    </xf>
    <xf numFmtId="4" fontId="15" fillId="4" borderId="22" xfId="0" applyNumberFormat="1" applyFont="1" applyFill="1" applyBorder="1" applyAlignment="1" applyProtection="1">
      <alignment horizontal="center"/>
    </xf>
    <xf numFmtId="4" fontId="15" fillId="4" borderId="32" xfId="0" applyNumberFormat="1" applyFont="1" applyFill="1" applyBorder="1" applyAlignment="1" applyProtection="1">
      <alignment horizontal="center"/>
    </xf>
    <xf numFmtId="49" fontId="8" fillId="15" borderId="10" xfId="0" applyNumberFormat="1" applyFont="1" applyFill="1" applyBorder="1" applyAlignment="1">
      <alignment vertical="center" wrapText="1"/>
    </xf>
    <xf numFmtId="0" fontId="9" fillId="3" borderId="2" xfId="0" applyFont="1" applyFill="1" applyBorder="1" applyAlignment="1">
      <alignment horizontal="left" vertical="top" wrapText="1"/>
    </xf>
    <xf numFmtId="0" fontId="5" fillId="13" borderId="7" xfId="0" applyFont="1" applyFill="1" applyBorder="1" applyAlignment="1" applyProtection="1">
      <alignment horizontal="center" vertical="center" wrapText="1"/>
    </xf>
    <xf numFmtId="0" fontId="5" fillId="13" borderId="8" xfId="0" applyFont="1" applyFill="1" applyBorder="1" applyAlignment="1" applyProtection="1">
      <alignment horizontal="center" vertical="center" wrapText="1"/>
    </xf>
    <xf numFmtId="0" fontId="5" fillId="13" borderId="9" xfId="0" applyFont="1" applyFill="1" applyBorder="1" applyAlignment="1" applyProtection="1">
      <alignment horizontal="center" vertical="center" wrapText="1"/>
    </xf>
    <xf numFmtId="0" fontId="21" fillId="13" borderId="52" xfId="0" applyFont="1" applyFill="1" applyBorder="1" applyAlignment="1">
      <alignment horizontal="center" vertical="center" wrapText="1"/>
    </xf>
    <xf numFmtId="0" fontId="21" fillId="13" borderId="53"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1" fillId="13" borderId="13"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25" xfId="0" applyFont="1" applyFill="1" applyBorder="1" applyAlignment="1">
      <alignment horizontal="center" vertical="center" wrapText="1"/>
    </xf>
    <xf numFmtId="0" fontId="12" fillId="0" borderId="26" xfId="0" applyFont="1" applyFill="1" applyBorder="1" applyAlignment="1">
      <alignment horizontal="center" vertical="center" wrapText="1"/>
    </xf>
    <xf numFmtId="0" fontId="12" fillId="0" borderId="27" xfId="0" applyFont="1" applyFill="1" applyBorder="1" applyAlignment="1">
      <alignment horizontal="center" vertical="center" wrapText="1"/>
    </xf>
    <xf numFmtId="0" fontId="9" fillId="5" borderId="54" xfId="0" applyFont="1" applyFill="1" applyBorder="1" applyAlignment="1">
      <alignment horizontal="center" vertical="center" wrapText="1"/>
    </xf>
    <xf numFmtId="0" fontId="9" fillId="5" borderId="55" xfId="0" applyFont="1" applyFill="1" applyBorder="1" applyAlignment="1">
      <alignment horizontal="center" vertical="center" wrapText="1"/>
    </xf>
    <xf numFmtId="0" fontId="9" fillId="6" borderId="54" xfId="0" applyFont="1" applyFill="1" applyBorder="1" applyAlignment="1">
      <alignment horizontal="center" vertical="center" wrapText="1"/>
    </xf>
    <xf numFmtId="0" fontId="9" fillId="6" borderId="55" xfId="0" applyFont="1" applyFill="1" applyBorder="1" applyAlignment="1">
      <alignment horizontal="center" vertical="center" wrapText="1"/>
    </xf>
    <xf numFmtId="49" fontId="8" fillId="15" borderId="10" xfId="0" applyNumberFormat="1" applyFont="1" applyFill="1" applyBorder="1" applyAlignment="1">
      <alignment horizontal="center" vertical="center" wrapText="1"/>
    </xf>
    <xf numFmtId="49" fontId="8" fillId="15" borderId="12" xfId="0" applyNumberFormat="1" applyFont="1" applyFill="1" applyBorder="1" applyAlignment="1">
      <alignment horizontal="center" vertical="center" wrapText="1"/>
    </xf>
    <xf numFmtId="49" fontId="8" fillId="15" borderId="11" xfId="0" applyNumberFormat="1" applyFont="1" applyFill="1" applyBorder="1" applyAlignment="1">
      <alignment horizontal="center" vertical="center" wrapText="1"/>
    </xf>
    <xf numFmtId="0" fontId="20" fillId="4" borderId="45" xfId="1" applyFont="1" applyFill="1" applyBorder="1" applyAlignment="1" applyProtection="1">
      <alignment horizontal="center"/>
      <protection locked="0"/>
    </xf>
    <xf numFmtId="0" fontId="20" fillId="4" borderId="46" xfId="1" applyFont="1" applyFill="1" applyBorder="1" applyAlignment="1" applyProtection="1">
      <alignment horizontal="center"/>
      <protection locked="0"/>
    </xf>
    <xf numFmtId="0" fontId="20" fillId="4" borderId="49" xfId="1" applyFont="1" applyFill="1" applyBorder="1" applyAlignment="1" applyProtection="1">
      <alignment horizontal="center"/>
      <protection locked="0"/>
    </xf>
    <xf numFmtId="0" fontId="20" fillId="4" borderId="47" xfId="1" applyFont="1" applyFill="1" applyBorder="1" applyAlignment="1" applyProtection="1">
      <alignment horizontal="center"/>
      <protection locked="0"/>
    </xf>
    <xf numFmtId="0" fontId="16" fillId="3" borderId="28" xfId="0" applyNumberFormat="1" applyFont="1" applyFill="1" applyBorder="1" applyAlignment="1" applyProtection="1">
      <alignment horizontal="center" vertical="top" wrapText="1"/>
      <protection locked="0"/>
    </xf>
    <xf numFmtId="0" fontId="16" fillId="3" borderId="29" xfId="0" applyNumberFormat="1" applyFont="1" applyFill="1" applyBorder="1" applyAlignment="1" applyProtection="1">
      <alignment horizontal="center" vertical="top" wrapText="1"/>
      <protection locked="0"/>
    </xf>
    <xf numFmtId="0" fontId="16" fillId="3" borderId="44" xfId="0" applyNumberFormat="1" applyFont="1" applyFill="1" applyBorder="1" applyAlignment="1" applyProtection="1">
      <alignment horizontal="center" vertical="top" wrapText="1"/>
      <protection locked="0"/>
    </xf>
    <xf numFmtId="0" fontId="16" fillId="3" borderId="30" xfId="0" applyNumberFormat="1" applyFont="1" applyFill="1" applyBorder="1" applyAlignment="1" applyProtection="1">
      <alignment horizontal="center" vertical="top" wrapText="1"/>
      <protection locked="0"/>
    </xf>
    <xf numFmtId="0" fontId="16" fillId="3" borderId="0" xfId="0" applyNumberFormat="1" applyFont="1" applyFill="1" applyBorder="1" applyAlignment="1" applyProtection="1">
      <alignment horizontal="center" vertical="top" wrapText="1"/>
      <protection locked="0"/>
    </xf>
    <xf numFmtId="0" fontId="16" fillId="3" borderId="42" xfId="0" applyNumberFormat="1" applyFont="1" applyFill="1" applyBorder="1" applyAlignment="1" applyProtection="1">
      <alignment horizontal="center" vertical="top" wrapText="1"/>
      <protection locked="0"/>
    </xf>
    <xf numFmtId="0" fontId="13" fillId="4" borderId="1" xfId="0" applyFont="1" applyFill="1" applyBorder="1" applyAlignment="1" applyProtection="1">
      <alignment horizontal="left"/>
    </xf>
    <xf numFmtId="0" fontId="13" fillId="4" borderId="14" xfId="0" applyFont="1" applyFill="1" applyBorder="1" applyAlignment="1" applyProtection="1">
      <alignment horizontal="left"/>
    </xf>
    <xf numFmtId="0" fontId="18" fillId="4" borderId="37" xfId="0" applyFont="1" applyFill="1" applyBorder="1" applyAlignment="1" applyProtection="1">
      <alignment horizontal="center" vertical="center" wrapText="1"/>
    </xf>
    <xf numFmtId="0" fontId="18" fillId="4" borderId="39" xfId="0" applyFont="1" applyFill="1" applyBorder="1" applyAlignment="1" applyProtection="1">
      <alignment horizontal="center" vertical="center" wrapText="1"/>
    </xf>
    <xf numFmtId="0" fontId="18" fillId="4" borderId="40" xfId="0" applyFont="1" applyFill="1" applyBorder="1" applyAlignment="1" applyProtection="1">
      <alignment horizontal="center" vertical="center" wrapText="1"/>
    </xf>
    <xf numFmtId="0" fontId="15" fillId="14" borderId="30" xfId="0" applyFont="1" applyFill="1" applyBorder="1" applyAlignment="1" applyProtection="1">
      <alignment horizontal="center"/>
      <protection locked="0"/>
    </xf>
    <xf numFmtId="0" fontId="17" fillId="14" borderId="0" xfId="0" applyFont="1" applyFill="1" applyBorder="1" applyAlignment="1" applyProtection="1">
      <alignment horizontal="center"/>
      <protection locked="0"/>
    </xf>
    <xf numFmtId="0" fontId="17" fillId="14" borderId="42" xfId="0" applyFont="1" applyFill="1" applyBorder="1" applyAlignment="1" applyProtection="1">
      <alignment horizontal="center"/>
      <protection locked="0"/>
    </xf>
    <xf numFmtId="4" fontId="15" fillId="4" borderId="50" xfId="0" applyNumberFormat="1" applyFont="1" applyFill="1" applyBorder="1" applyAlignment="1" applyProtection="1">
      <alignment horizontal="center" vertical="center"/>
    </xf>
    <xf numFmtId="4" fontId="15" fillId="4" borderId="51" xfId="0" applyNumberFormat="1" applyFont="1" applyFill="1" applyBorder="1" applyAlignment="1" applyProtection="1">
      <alignment horizontal="center" vertical="center"/>
    </xf>
    <xf numFmtId="0" fontId="6" fillId="2" borderId="15" xfId="0" applyFont="1" applyFill="1" applyBorder="1" applyAlignment="1" applyProtection="1">
      <alignment horizontal="left" vertical="center" wrapText="1"/>
    </xf>
    <xf numFmtId="0" fontId="6" fillId="2" borderId="16" xfId="0" applyFont="1" applyFill="1" applyBorder="1" applyAlignment="1" applyProtection="1">
      <alignment horizontal="left" vertical="center" wrapText="1"/>
    </xf>
    <xf numFmtId="0" fontId="6" fillId="2" borderId="2" xfId="0" applyFont="1" applyFill="1" applyBorder="1" applyAlignment="1" applyProtection="1">
      <alignment horizontal="left" vertical="center" wrapText="1"/>
    </xf>
    <xf numFmtId="0" fontId="6" fillId="2" borderId="17" xfId="0" applyFont="1" applyFill="1" applyBorder="1" applyAlignment="1" applyProtection="1">
      <alignment horizontal="left" vertical="center" wrapText="1"/>
    </xf>
    <xf numFmtId="0" fontId="13" fillId="4" borderId="10" xfId="0" applyFont="1" applyFill="1" applyBorder="1" applyAlignment="1" applyProtection="1">
      <alignment horizontal="center"/>
    </xf>
    <xf numFmtId="0" fontId="13" fillId="4" borderId="11" xfId="0" applyFont="1" applyFill="1" applyBorder="1" applyAlignment="1" applyProtection="1">
      <alignment horizontal="center"/>
    </xf>
    <xf numFmtId="0" fontId="13" fillId="4" borderId="12" xfId="0" applyFont="1" applyFill="1" applyBorder="1" applyAlignment="1" applyProtection="1">
      <alignment horizontal="center"/>
    </xf>
    <xf numFmtId="0" fontId="6" fillId="2" borderId="18" xfId="0" applyFont="1" applyFill="1" applyBorder="1" applyAlignment="1" applyProtection="1">
      <alignment horizontal="left" vertical="center" wrapText="1"/>
    </xf>
    <xf numFmtId="0" fontId="6" fillId="2" borderId="19" xfId="0" applyFont="1" applyFill="1" applyBorder="1" applyAlignment="1" applyProtection="1">
      <alignment horizontal="lef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7989727090565291E-2"/>
          <c:y val="7.6190413860656073E-2"/>
          <c:w val="0.67481754296841923"/>
          <c:h val="0.83355119470169858"/>
        </c:manualLayout>
      </c:layout>
      <c:bar3DChart>
        <c:barDir val="col"/>
        <c:grouping val="clustered"/>
        <c:varyColors val="0"/>
        <c:ser>
          <c:idx val="0"/>
          <c:order val="0"/>
          <c:tx>
            <c:strRef>
              <c:f>'Detalle General QA'!$C$10</c:f>
              <c:strCache>
                <c:ptCount val="1"/>
                <c:pt idx="0">
                  <c:v>Errores Graves</c:v>
                </c:pt>
              </c:strCache>
            </c:strRef>
          </c:tx>
          <c:spPr>
            <a:solidFill>
              <a:srgbClr val="FF0000"/>
            </a:solidFill>
            <a:ln w="25400">
              <a:noFill/>
            </a:ln>
          </c:spPr>
          <c:invertIfNegative val="0"/>
          <c:val>
            <c:numRef>
              <c:f>'Detalle General QA'!$D$10</c:f>
              <c:numCache>
                <c:formatCode>General</c:formatCode>
                <c:ptCount val="1"/>
                <c:pt idx="0">
                  <c:v>0</c:v>
                </c:pt>
              </c:numCache>
            </c:numRef>
          </c:val>
          <c:extLst>
            <c:ext xmlns:c16="http://schemas.microsoft.com/office/drawing/2014/chart" uri="{C3380CC4-5D6E-409C-BE32-E72D297353CC}">
              <c16:uniqueId val="{00000000-891C-47EF-8A2C-08168661C93D}"/>
            </c:ext>
          </c:extLst>
        </c:ser>
        <c:ser>
          <c:idx val="1"/>
          <c:order val="1"/>
          <c:tx>
            <c:strRef>
              <c:f>'Detalle General QA'!$C$11</c:f>
              <c:strCache>
                <c:ptCount val="1"/>
                <c:pt idx="0">
                  <c:v>Errores Medianos</c:v>
                </c:pt>
              </c:strCache>
            </c:strRef>
          </c:tx>
          <c:spPr>
            <a:solidFill>
              <a:srgbClr val="FFC000"/>
            </a:solidFill>
            <a:ln w="25400">
              <a:noFill/>
            </a:ln>
          </c:spPr>
          <c:invertIfNegative val="0"/>
          <c:val>
            <c:numRef>
              <c:f>'Detalle General QA'!$D$11</c:f>
              <c:numCache>
                <c:formatCode>General</c:formatCode>
                <c:ptCount val="1"/>
                <c:pt idx="0">
                  <c:v>0</c:v>
                </c:pt>
              </c:numCache>
            </c:numRef>
          </c:val>
          <c:extLst>
            <c:ext xmlns:c16="http://schemas.microsoft.com/office/drawing/2014/chart" uri="{C3380CC4-5D6E-409C-BE32-E72D297353CC}">
              <c16:uniqueId val="{00000001-891C-47EF-8A2C-08168661C93D}"/>
            </c:ext>
          </c:extLst>
        </c:ser>
        <c:ser>
          <c:idx val="2"/>
          <c:order val="2"/>
          <c:tx>
            <c:strRef>
              <c:f>'Detalle General QA'!$C$12</c:f>
              <c:strCache>
                <c:ptCount val="1"/>
                <c:pt idx="0">
                  <c:v>Errores Leves </c:v>
                </c:pt>
              </c:strCache>
            </c:strRef>
          </c:tx>
          <c:spPr>
            <a:solidFill>
              <a:srgbClr val="FFFF00"/>
            </a:solidFill>
            <a:ln w="25400">
              <a:noFill/>
            </a:ln>
          </c:spPr>
          <c:invertIfNegative val="0"/>
          <c:val>
            <c:numRef>
              <c:f>'Detalle General QA'!$D$12</c:f>
              <c:numCache>
                <c:formatCode>General</c:formatCode>
                <c:ptCount val="1"/>
                <c:pt idx="0">
                  <c:v>0</c:v>
                </c:pt>
              </c:numCache>
            </c:numRef>
          </c:val>
          <c:extLst>
            <c:ext xmlns:c16="http://schemas.microsoft.com/office/drawing/2014/chart" uri="{C3380CC4-5D6E-409C-BE32-E72D297353CC}">
              <c16:uniqueId val="{00000002-891C-47EF-8A2C-08168661C93D}"/>
            </c:ext>
          </c:extLst>
        </c:ser>
        <c:ser>
          <c:idx val="3"/>
          <c:order val="3"/>
          <c:tx>
            <c:strRef>
              <c:f>'Detalle General QA'!$C$13</c:f>
              <c:strCache>
                <c:ptCount val="1"/>
                <c:pt idx="0">
                  <c:v>OK</c:v>
                </c:pt>
              </c:strCache>
            </c:strRef>
          </c:tx>
          <c:spPr>
            <a:solidFill>
              <a:srgbClr val="00B050"/>
            </a:solidFill>
            <a:ln w="25400">
              <a:noFill/>
            </a:ln>
          </c:spPr>
          <c:invertIfNegative val="0"/>
          <c:val>
            <c:numRef>
              <c:f>'Detalle General QA'!$D$13</c:f>
              <c:numCache>
                <c:formatCode>General</c:formatCode>
                <c:ptCount val="1"/>
                <c:pt idx="0">
                  <c:v>0</c:v>
                </c:pt>
              </c:numCache>
            </c:numRef>
          </c:val>
          <c:extLst>
            <c:ext xmlns:c16="http://schemas.microsoft.com/office/drawing/2014/chart" uri="{C3380CC4-5D6E-409C-BE32-E72D297353CC}">
              <c16:uniqueId val="{00000003-891C-47EF-8A2C-08168661C93D}"/>
            </c:ext>
          </c:extLst>
        </c:ser>
        <c:ser>
          <c:idx val="4"/>
          <c:order val="4"/>
          <c:tx>
            <c:strRef>
              <c:f>'Detalle General QA'!$C$14</c:f>
              <c:strCache>
                <c:ptCount val="1"/>
                <c:pt idx="0">
                  <c:v>Pendientes</c:v>
                </c:pt>
              </c:strCache>
            </c:strRef>
          </c:tx>
          <c:spPr>
            <a:solidFill>
              <a:schemeClr val="tx2">
                <a:lumMod val="60000"/>
                <a:lumOff val="40000"/>
              </a:schemeClr>
            </a:solidFill>
            <a:ln>
              <a:noFill/>
            </a:ln>
            <a:effectLst/>
            <a:sp3d/>
          </c:spPr>
          <c:invertIfNegative val="0"/>
          <c:val>
            <c:numRef>
              <c:f>'Detalle General QA'!$D$14</c:f>
              <c:numCache>
                <c:formatCode>General</c:formatCode>
                <c:ptCount val="1"/>
                <c:pt idx="0">
                  <c:v>0</c:v>
                </c:pt>
              </c:numCache>
            </c:numRef>
          </c:val>
          <c:extLst>
            <c:ext xmlns:c16="http://schemas.microsoft.com/office/drawing/2014/chart" uri="{C3380CC4-5D6E-409C-BE32-E72D297353CC}">
              <c16:uniqueId val="{00000004-891C-47EF-8A2C-08168661C93D}"/>
            </c:ext>
          </c:extLst>
        </c:ser>
        <c:ser>
          <c:idx val="5"/>
          <c:order val="5"/>
          <c:tx>
            <c:strRef>
              <c:f>'Detalle General QA'!$C$15</c:f>
              <c:strCache>
                <c:ptCount val="1"/>
                <c:pt idx="0">
                  <c:v>No aplican</c:v>
                </c:pt>
              </c:strCache>
            </c:strRef>
          </c:tx>
          <c:spPr>
            <a:solidFill>
              <a:schemeClr val="accent1">
                <a:lumMod val="60000"/>
                <a:lumOff val="40000"/>
              </a:schemeClr>
            </a:solidFill>
            <a:ln>
              <a:noFill/>
            </a:ln>
            <a:effectLst/>
            <a:sp3d/>
          </c:spPr>
          <c:invertIfNegative val="0"/>
          <c:val>
            <c:numRef>
              <c:f>'Detalle General QA'!$D$15</c:f>
              <c:numCache>
                <c:formatCode>General</c:formatCode>
                <c:ptCount val="1"/>
                <c:pt idx="0">
                  <c:v>0</c:v>
                </c:pt>
              </c:numCache>
            </c:numRef>
          </c:val>
          <c:extLst>
            <c:ext xmlns:c16="http://schemas.microsoft.com/office/drawing/2014/chart" uri="{C3380CC4-5D6E-409C-BE32-E72D297353CC}">
              <c16:uniqueId val="{00000005-891C-47EF-8A2C-08168661C93D}"/>
            </c:ext>
          </c:extLst>
        </c:ser>
        <c:ser>
          <c:idx val="6"/>
          <c:order val="6"/>
          <c:tx>
            <c:v>'Detalle General QA'!#REF!</c:v>
          </c:tx>
          <c:spPr>
            <a:solidFill>
              <a:schemeClr val="bg1">
                <a:lumMod val="65000"/>
              </a:schemeClr>
            </a:solidFill>
            <a:ln>
              <a:noFill/>
            </a:ln>
            <a:effectLst/>
            <a:sp3d/>
          </c:spPr>
          <c:invertIfNegative val="0"/>
          <c:val>
            <c:numRef>
              <c:f>'Detalle General QA'!#REF!</c:f>
              <c:numCache>
                <c:formatCode>General</c:formatCode>
                <c:ptCount val="1"/>
                <c:pt idx="0">
                  <c:v>1</c:v>
                </c:pt>
              </c:numCache>
            </c:numRef>
          </c:val>
          <c:extLst>
            <c:ext xmlns:c16="http://schemas.microsoft.com/office/drawing/2014/chart" uri="{C3380CC4-5D6E-409C-BE32-E72D297353CC}">
              <c16:uniqueId val="{00000006-891C-47EF-8A2C-08168661C93D}"/>
            </c:ext>
          </c:extLst>
        </c:ser>
        <c:ser>
          <c:idx val="7"/>
          <c:order val="7"/>
          <c:tx>
            <c:strRef>
              <c:f>'Detalle General QA'!$C$16</c:f>
              <c:strCache>
                <c:ptCount val="1"/>
                <c:pt idx="0">
                  <c:v>OK/o</c:v>
                </c:pt>
              </c:strCache>
            </c:strRef>
          </c:tx>
          <c:spPr>
            <a:solidFill>
              <a:srgbClr val="92D050"/>
            </a:solidFill>
            <a:ln w="25400">
              <a:noFill/>
            </a:ln>
          </c:spPr>
          <c:invertIfNegative val="0"/>
          <c:val>
            <c:numRef>
              <c:f>'Detalle General QA'!$D$16</c:f>
              <c:numCache>
                <c:formatCode>General</c:formatCode>
                <c:ptCount val="1"/>
                <c:pt idx="0">
                  <c:v>0</c:v>
                </c:pt>
              </c:numCache>
            </c:numRef>
          </c:val>
          <c:extLst>
            <c:ext xmlns:c16="http://schemas.microsoft.com/office/drawing/2014/chart" uri="{C3380CC4-5D6E-409C-BE32-E72D297353CC}">
              <c16:uniqueId val="{00000007-891C-47EF-8A2C-08168661C93D}"/>
            </c:ext>
          </c:extLst>
        </c:ser>
        <c:dLbls>
          <c:showLegendKey val="0"/>
          <c:showVal val="0"/>
          <c:showCatName val="0"/>
          <c:showSerName val="0"/>
          <c:showPercent val="0"/>
          <c:showBubbleSize val="0"/>
        </c:dLbls>
        <c:gapWidth val="219"/>
        <c:shape val="box"/>
        <c:axId val="96510336"/>
        <c:axId val="96511872"/>
        <c:axId val="0"/>
      </c:bar3DChart>
      <c:catAx>
        <c:axId val="96510336"/>
        <c:scaling>
          <c:orientation val="minMax"/>
        </c:scaling>
        <c:delete val="1"/>
        <c:axPos val="b"/>
        <c:majorTickMark val="out"/>
        <c:minorTickMark val="none"/>
        <c:tickLblPos val="nextTo"/>
        <c:crossAx val="96511872"/>
        <c:crosses val="autoZero"/>
        <c:auto val="1"/>
        <c:lblAlgn val="ctr"/>
        <c:lblOffset val="100"/>
        <c:noMultiLvlLbl val="0"/>
      </c:catAx>
      <c:valAx>
        <c:axId val="9651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510336"/>
        <c:crosses val="autoZero"/>
        <c:crossBetween val="between"/>
      </c:valAx>
      <c:spPr>
        <a:noFill/>
        <a:ln w="25400">
          <a:noFill/>
        </a:ln>
      </c:spPr>
    </c:plotArea>
    <c:legend>
      <c:legendPos val="r"/>
      <c:legendEntry>
        <c:idx val="6"/>
        <c:delete val="1"/>
      </c:legendEntry>
      <c:layout>
        <c:manualLayout>
          <c:xMode val="edge"/>
          <c:yMode val="edge"/>
          <c:x val="0.68904386951631047"/>
          <c:y val="2.8569174517925143E-2"/>
          <c:w val="0.28945079978210275"/>
          <c:h val="0.9090935020405686"/>
        </c:manualLayout>
      </c:layout>
      <c:overlay val="0"/>
      <c:spPr>
        <a:noFill/>
        <a:ln>
          <a:solidFill>
            <a:schemeClr val="accent1"/>
          </a:solidFill>
        </a:ln>
        <a:effectLst/>
      </c:spPr>
      <c:txPr>
        <a:bodyPr rot="0" spcFirstLastPara="1" vertOverflow="ellipsis" vert="horz" wrap="square" anchor="t" anchorCtr="0"/>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outerShdw>
              </a:effectLst>
              <a:latin typeface="+mn-lt"/>
              <a:ea typeface="+mn-ea"/>
              <a:cs typeface="+mn-cs"/>
            </a:defRPr>
          </a:pPr>
          <a:endParaRPr lang="es-CL"/>
        </a:p>
      </c:txPr>
    </c:legend>
    <c:plotVisOnly val="1"/>
    <c:dispBlanksAs val="gap"/>
    <c:showDLblsOverMax val="0"/>
  </c:chart>
  <c:spPr>
    <a:blipFill dpi="0" rotWithShape="1">
      <a:blip xmlns:r="http://schemas.openxmlformats.org/officeDocument/2006/relationships" r:embed="rId1">
        <a:alphaModFix amt="25000"/>
      </a:blip>
      <a:srcRect/>
      <a:stretch>
        <a:fillRect/>
      </a:stretch>
    </a:blip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61382</xdr:colOff>
      <xdr:row>0</xdr:row>
      <xdr:rowOff>120651</xdr:rowOff>
    </xdr:from>
    <xdr:to>
      <xdr:col>2</xdr:col>
      <xdr:colOff>545040</xdr:colOff>
      <xdr:row>5</xdr:row>
      <xdr:rowOff>103718</xdr:rowOff>
    </xdr:to>
    <xdr:pic>
      <xdr:nvPicPr>
        <xdr:cNvPr id="3" name="Imagen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965" y="120651"/>
          <a:ext cx="2007658" cy="7768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83341</xdr:colOff>
      <xdr:row>1</xdr:row>
      <xdr:rowOff>59530</xdr:rowOff>
    </xdr:from>
    <xdr:to>
      <xdr:col>3</xdr:col>
      <xdr:colOff>1964531</xdr:colOff>
      <xdr:row>1</xdr:row>
      <xdr:rowOff>809623</xdr:rowOff>
    </xdr:to>
    <xdr:pic>
      <xdr:nvPicPr>
        <xdr:cNvPr id="3" name="Imagen 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154" y="226218"/>
          <a:ext cx="2428877" cy="7500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9</xdr:row>
      <xdr:rowOff>9525</xdr:rowOff>
    </xdr:from>
    <xdr:to>
      <xdr:col>7</xdr:col>
      <xdr:colOff>1409700</xdr:colOff>
      <xdr:row>18</xdr:row>
      <xdr:rowOff>9525</xdr:rowOff>
    </xdr:to>
    <xdr:graphicFrame macro="">
      <xdr:nvGraphicFramePr>
        <xdr:cNvPr id="7988" name="Gráfico 1">
          <a:extLst>
            <a:ext uri="{FF2B5EF4-FFF2-40B4-BE49-F238E27FC236}">
              <a16:creationId xmlns:a16="http://schemas.microsoft.com/office/drawing/2014/main" id="{00000000-0008-0000-0200-000034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77031</xdr:colOff>
      <xdr:row>4</xdr:row>
      <xdr:rowOff>109330</xdr:rowOff>
    </xdr:from>
    <xdr:to>
      <xdr:col>2</xdr:col>
      <xdr:colOff>1449457</xdr:colOff>
      <xdr:row>7</xdr:row>
      <xdr:rowOff>58456</xdr:rowOff>
    </xdr:to>
    <xdr:pic>
      <xdr:nvPicPr>
        <xdr:cNvPr id="4" name="Imagen 1">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6314" y="647700"/>
          <a:ext cx="1372426" cy="512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19050</xdr:colOff>
      <xdr:row>0</xdr:row>
      <xdr:rowOff>114301</xdr:rowOff>
    </xdr:from>
    <xdr:to>
      <xdr:col>2</xdr:col>
      <xdr:colOff>1695450</xdr:colOff>
      <xdr:row>1</xdr:row>
      <xdr:rowOff>419101</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114301"/>
          <a:ext cx="20669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file:///\\LH-QAREP\Repositorio%20de%20Certificaciones%20QA"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2060"/>
  </sheetPr>
  <dimension ref="A1:I25"/>
  <sheetViews>
    <sheetView zoomScale="90" zoomScaleNormal="90" workbookViewId="0">
      <selection activeCell="G13" sqref="G13"/>
    </sheetView>
  </sheetViews>
  <sheetFormatPr baseColWidth="10" defaultRowHeight="12.75" x14ac:dyDescent="0.2"/>
  <cols>
    <col min="1" max="1" width="4" style="10" customWidth="1"/>
    <col min="2" max="3" width="22.85546875" style="10" customWidth="1"/>
    <col min="4" max="4" width="26.28515625" style="10" customWidth="1"/>
    <col min="5" max="5" width="16" style="10" customWidth="1"/>
    <col min="6" max="6" width="17.28515625" style="10" customWidth="1"/>
    <col min="7" max="7" width="44.28515625" style="10" customWidth="1"/>
    <col min="8" max="8" width="23.28515625" style="10" customWidth="1"/>
    <col min="9" max="16384" width="11.42578125" style="1"/>
  </cols>
  <sheetData>
    <row r="1" spans="1:9" x14ac:dyDescent="0.2">
      <c r="A1" s="13"/>
      <c r="B1" s="13"/>
      <c r="C1" s="13"/>
    </row>
    <row r="2" spans="1:9" x14ac:dyDescent="0.2">
      <c r="A2" s="13"/>
      <c r="B2" s="13"/>
      <c r="C2" s="13"/>
    </row>
    <row r="3" spans="1:9" x14ac:dyDescent="0.2">
      <c r="A3" s="13"/>
      <c r="B3" s="13"/>
      <c r="C3" s="13"/>
    </row>
    <row r="4" spans="1:9" x14ac:dyDescent="0.2">
      <c r="A4" s="13"/>
      <c r="B4" s="13"/>
      <c r="C4" s="13"/>
    </row>
    <row r="5" spans="1:9" x14ac:dyDescent="0.2">
      <c r="A5" s="13"/>
      <c r="B5" s="13"/>
      <c r="C5" s="13"/>
    </row>
    <row r="6" spans="1:9" x14ac:dyDescent="0.2">
      <c r="A6" s="13"/>
      <c r="B6" s="13"/>
      <c r="C6" s="13"/>
    </row>
    <row r="7" spans="1:9" x14ac:dyDescent="0.2">
      <c r="A7" s="13"/>
      <c r="B7" s="13"/>
      <c r="C7" s="13"/>
      <c r="E7" s="34"/>
    </row>
    <row r="8" spans="1:9" ht="19.5" customHeight="1" x14ac:dyDescent="0.2">
      <c r="B8" s="52" t="s">
        <v>21</v>
      </c>
      <c r="C8" s="53"/>
      <c r="D8" s="53"/>
      <c r="E8" s="53"/>
      <c r="F8" s="53"/>
      <c r="G8" s="54"/>
    </row>
    <row r="9" spans="1:9" ht="18" customHeight="1" x14ac:dyDescent="0.2">
      <c r="B9" s="31" t="s">
        <v>22</v>
      </c>
      <c r="C9" s="31" t="s">
        <v>23</v>
      </c>
      <c r="D9" s="31" t="s">
        <v>24</v>
      </c>
      <c r="E9" s="31" t="s">
        <v>25</v>
      </c>
      <c r="F9" s="31" t="s">
        <v>39</v>
      </c>
      <c r="G9" s="31" t="s">
        <v>41</v>
      </c>
    </row>
    <row r="10" spans="1:9" s="12" customFormat="1" ht="17.25" customHeight="1" x14ac:dyDescent="0.3">
      <c r="A10" s="11"/>
      <c r="B10" s="36">
        <v>1</v>
      </c>
      <c r="C10" s="37"/>
      <c r="D10" s="32" t="s">
        <v>76</v>
      </c>
      <c r="E10" s="32"/>
      <c r="F10" s="37">
        <v>42682</v>
      </c>
      <c r="G10" s="32" t="s">
        <v>42</v>
      </c>
      <c r="H10" s="11"/>
      <c r="I10" s="33"/>
    </row>
    <row r="11" spans="1:9" s="12" customFormat="1" ht="17.25" customHeight="1" x14ac:dyDescent="0.3">
      <c r="A11" s="11"/>
      <c r="B11" s="36">
        <v>2</v>
      </c>
      <c r="C11" s="37"/>
      <c r="D11" s="32"/>
      <c r="E11" s="32"/>
      <c r="F11" s="37"/>
      <c r="G11" s="32" t="s">
        <v>40</v>
      </c>
      <c r="H11" s="11"/>
    </row>
    <row r="12" spans="1:9" s="12" customFormat="1" ht="17.25" customHeight="1" x14ac:dyDescent="0.3">
      <c r="A12" s="11"/>
      <c r="B12" s="36">
        <v>3</v>
      </c>
      <c r="C12" s="37"/>
      <c r="D12" s="32"/>
      <c r="E12" s="32"/>
      <c r="F12" s="37"/>
      <c r="G12" s="32" t="s">
        <v>45</v>
      </c>
      <c r="H12" s="11"/>
      <c r="I12" s="12">
        <v>1</v>
      </c>
    </row>
    <row r="13" spans="1:9" s="12" customFormat="1" ht="17.25" customHeight="1" x14ac:dyDescent="0.3">
      <c r="A13" s="11"/>
      <c r="B13" s="36">
        <v>4</v>
      </c>
      <c r="C13" s="37"/>
      <c r="D13" s="32"/>
      <c r="E13" s="32"/>
      <c r="F13" s="37"/>
      <c r="G13" s="32" t="s">
        <v>46</v>
      </c>
      <c r="H13" s="11"/>
    </row>
    <row r="14" spans="1:9" s="12" customFormat="1" ht="16.5" customHeight="1" x14ac:dyDescent="0.3">
      <c r="A14" s="11"/>
      <c r="B14" s="36">
        <v>5</v>
      </c>
      <c r="C14" s="37"/>
      <c r="D14" s="32"/>
      <c r="E14" s="32"/>
      <c r="F14" s="37"/>
      <c r="G14" s="32" t="s">
        <v>47</v>
      </c>
      <c r="H14" s="11"/>
    </row>
    <row r="15" spans="1:9" s="12" customFormat="1" ht="17.25" customHeight="1" x14ac:dyDescent="0.3">
      <c r="A15" s="11"/>
      <c r="B15" s="36">
        <v>6</v>
      </c>
      <c r="C15" s="37"/>
      <c r="D15" s="32"/>
      <c r="E15" s="32"/>
      <c r="F15" s="37"/>
      <c r="G15" s="32" t="s">
        <v>48</v>
      </c>
      <c r="H15" s="11"/>
    </row>
    <row r="16" spans="1:9" s="12" customFormat="1" ht="15" customHeight="1" x14ac:dyDescent="0.3">
      <c r="A16" s="11"/>
      <c r="B16" s="36">
        <v>7</v>
      </c>
      <c r="C16" s="37"/>
      <c r="D16" s="32"/>
      <c r="E16" s="32"/>
      <c r="F16" s="37"/>
      <c r="G16" s="32" t="s">
        <v>49</v>
      </c>
      <c r="H16" s="11"/>
    </row>
    <row r="17" spans="1:8" s="12" customFormat="1" ht="15.75" customHeight="1" x14ac:dyDescent="0.3">
      <c r="A17" s="11"/>
      <c r="B17" s="36">
        <v>8</v>
      </c>
      <c r="C17" s="37"/>
      <c r="D17" s="32"/>
      <c r="E17" s="32"/>
      <c r="F17" s="37"/>
      <c r="G17" s="32"/>
      <c r="H17" s="11"/>
    </row>
    <row r="18" spans="1:8" s="12" customFormat="1" ht="15.75" customHeight="1" x14ac:dyDescent="0.3">
      <c r="A18" s="11"/>
      <c r="B18" s="36">
        <v>9</v>
      </c>
      <c r="C18" s="37"/>
      <c r="D18" s="32"/>
      <c r="E18" s="32"/>
      <c r="F18" s="37"/>
      <c r="G18" s="32"/>
      <c r="H18" s="11"/>
    </row>
    <row r="19" spans="1:8" s="12" customFormat="1" ht="16.5" customHeight="1" x14ac:dyDescent="0.3">
      <c r="A19" s="11"/>
      <c r="B19" s="36">
        <v>10</v>
      </c>
      <c r="C19" s="37"/>
      <c r="D19" s="32"/>
      <c r="E19" s="32"/>
      <c r="F19" s="37"/>
      <c r="G19" s="32"/>
      <c r="H19" s="11"/>
    </row>
    <row r="20" spans="1:8" s="12" customFormat="1" ht="15.75" customHeight="1" x14ac:dyDescent="0.3">
      <c r="A20" s="11"/>
      <c r="B20" s="36">
        <v>11</v>
      </c>
      <c r="C20" s="37"/>
      <c r="D20" s="32"/>
      <c r="E20" s="32"/>
      <c r="F20" s="37"/>
      <c r="G20" s="32"/>
      <c r="H20" s="11"/>
    </row>
    <row r="21" spans="1:8" s="12" customFormat="1" ht="15" customHeight="1" x14ac:dyDescent="0.3">
      <c r="A21" s="11"/>
      <c r="B21" s="36">
        <v>12</v>
      </c>
      <c r="C21" s="37"/>
      <c r="D21" s="32"/>
      <c r="E21" s="32"/>
      <c r="F21" s="37"/>
      <c r="G21" s="32"/>
      <c r="H21" s="11"/>
    </row>
    <row r="22" spans="1:8" s="12" customFormat="1" ht="15.75" customHeight="1" x14ac:dyDescent="0.3">
      <c r="A22" s="11"/>
      <c r="B22" s="36">
        <v>13</v>
      </c>
      <c r="C22" s="37"/>
      <c r="D22" s="32"/>
      <c r="E22" s="32"/>
      <c r="F22" s="37"/>
      <c r="G22" s="32"/>
      <c r="H22" s="11"/>
    </row>
    <row r="23" spans="1:8" s="12" customFormat="1" ht="15.75" customHeight="1" x14ac:dyDescent="0.3">
      <c r="A23" s="11"/>
      <c r="B23" s="36">
        <v>14</v>
      </c>
      <c r="C23" s="37"/>
      <c r="D23" s="32"/>
      <c r="E23" s="32"/>
      <c r="F23" s="37"/>
      <c r="G23" s="32"/>
      <c r="H23" s="11"/>
    </row>
    <row r="24" spans="1:8" s="12" customFormat="1" ht="16.5" customHeight="1" x14ac:dyDescent="0.3">
      <c r="A24" s="11"/>
      <c r="B24" s="36">
        <v>15</v>
      </c>
      <c r="C24" s="37"/>
      <c r="D24" s="32"/>
      <c r="E24" s="32"/>
      <c r="F24" s="37"/>
      <c r="G24" s="32"/>
      <c r="H24" s="11"/>
    </row>
    <row r="25" spans="1:8" s="12" customFormat="1" ht="15" customHeight="1" x14ac:dyDescent="0.3">
      <c r="A25" s="11"/>
      <c r="B25" s="36">
        <v>16</v>
      </c>
      <c r="C25" s="37"/>
      <c r="D25" s="32"/>
      <c r="E25" s="32"/>
      <c r="F25" s="37"/>
      <c r="G25" s="32"/>
      <c r="H25" s="11"/>
    </row>
  </sheetData>
  <sheetProtection selectLockedCells="1" selectUnlockedCells="1"/>
  <mergeCells count="1">
    <mergeCell ref="B8:G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indexed="18"/>
  </sheetPr>
  <dimension ref="A1:L113"/>
  <sheetViews>
    <sheetView tabSelected="1" topLeftCell="A2" zoomScale="80" zoomScaleNormal="80" workbookViewId="0">
      <selection activeCell="F10" sqref="F10"/>
    </sheetView>
  </sheetViews>
  <sheetFormatPr baseColWidth="10" defaultRowHeight="12.75" x14ac:dyDescent="0.2"/>
  <cols>
    <col min="1" max="1" width="6.140625" style="2" customWidth="1"/>
    <col min="2" max="2" width="9" style="3" hidden="1" customWidth="1"/>
    <col min="3" max="3" width="8.28515625" style="2" customWidth="1"/>
    <col min="4" max="4" width="30.5703125" style="2" customWidth="1"/>
    <col min="5" max="5" width="39.85546875" style="4" customWidth="1"/>
    <col min="6" max="6" width="41.5703125" style="4" customWidth="1"/>
    <col min="7" max="7" width="21" style="4" customWidth="1"/>
    <col min="8" max="8" width="16.28515625" style="6" customWidth="1"/>
    <col min="9" max="9" width="12.7109375" style="4" customWidth="1"/>
    <col min="10" max="10" width="10.28515625" style="2" customWidth="1"/>
    <col min="11" max="11" width="29.140625" style="7" customWidth="1"/>
    <col min="12" max="12" width="26.140625" style="4" customWidth="1"/>
    <col min="13" max="16384" width="11.42578125" style="4"/>
  </cols>
  <sheetData>
    <row r="1" spans="1:12" ht="12.75" customHeight="1" thickBot="1" x14ac:dyDescent="0.25"/>
    <row r="2" spans="1:12" ht="67.5" customHeight="1" thickBot="1" x14ac:dyDescent="0.25">
      <c r="B2" s="50"/>
      <c r="C2" s="67"/>
      <c r="D2" s="68"/>
      <c r="E2" s="67" t="s">
        <v>81</v>
      </c>
      <c r="F2" s="69"/>
      <c r="G2" s="69"/>
      <c r="H2" s="69"/>
      <c r="I2" s="69"/>
      <c r="J2" s="68"/>
      <c r="K2" s="4"/>
    </row>
    <row r="3" spans="1:12" ht="16.5" customHeight="1" x14ac:dyDescent="0.2">
      <c r="I3" s="55" t="s">
        <v>35</v>
      </c>
      <c r="J3" s="56"/>
      <c r="K3" s="57"/>
      <c r="L3" s="58"/>
    </row>
    <row r="4" spans="1:12" ht="41.25" customHeight="1" x14ac:dyDescent="0.2">
      <c r="A4" s="19" t="s">
        <v>6</v>
      </c>
      <c r="B4" s="20" t="s">
        <v>7</v>
      </c>
      <c r="C4" s="20" t="s">
        <v>10</v>
      </c>
      <c r="D4" s="20" t="s">
        <v>11</v>
      </c>
      <c r="E4" s="21" t="s">
        <v>8</v>
      </c>
      <c r="F4" s="20" t="s">
        <v>9</v>
      </c>
      <c r="G4" s="20" t="s">
        <v>36</v>
      </c>
      <c r="H4" s="22" t="s">
        <v>44</v>
      </c>
      <c r="I4" s="23" t="s">
        <v>34</v>
      </c>
      <c r="J4" s="20" t="s">
        <v>37</v>
      </c>
      <c r="K4" s="22" t="s">
        <v>38</v>
      </c>
      <c r="L4" s="20" t="s">
        <v>0</v>
      </c>
    </row>
    <row r="5" spans="1:12" ht="19.5" customHeight="1" x14ac:dyDescent="0.2">
      <c r="A5" s="5">
        <v>1</v>
      </c>
      <c r="B5" s="8"/>
      <c r="C5" s="62" t="s">
        <v>12</v>
      </c>
      <c r="D5" s="18"/>
      <c r="E5" s="51"/>
      <c r="F5" s="16"/>
      <c r="G5" s="15"/>
      <c r="H5" s="15"/>
      <c r="I5" s="15"/>
      <c r="J5" s="35"/>
      <c r="K5" s="15"/>
      <c r="L5" s="15"/>
    </row>
    <row r="6" spans="1:12" ht="19.5" customHeight="1" x14ac:dyDescent="0.2">
      <c r="A6" s="5">
        <v>2</v>
      </c>
      <c r="B6" s="9"/>
      <c r="C6" s="61"/>
      <c r="D6" s="18"/>
      <c r="E6" s="51"/>
      <c r="F6" s="16"/>
      <c r="G6" s="15"/>
      <c r="H6" s="15"/>
      <c r="I6" s="15"/>
      <c r="J6" s="35"/>
      <c r="K6" s="15"/>
      <c r="L6" s="15"/>
    </row>
    <row r="7" spans="1:12" ht="19.5" customHeight="1" x14ac:dyDescent="0.2">
      <c r="A7" s="5">
        <v>3</v>
      </c>
      <c r="B7" s="9" t="s">
        <v>20</v>
      </c>
      <c r="C7" s="60" t="s">
        <v>13</v>
      </c>
      <c r="D7" s="17"/>
      <c r="E7" s="51"/>
      <c r="F7" s="16"/>
      <c r="G7" s="15"/>
      <c r="H7" s="15"/>
      <c r="I7" s="15"/>
      <c r="J7" s="35"/>
      <c r="K7" s="15"/>
      <c r="L7" s="15"/>
    </row>
    <row r="8" spans="1:12" ht="19.5" customHeight="1" x14ac:dyDescent="0.2">
      <c r="A8" s="5">
        <v>4</v>
      </c>
      <c r="B8" s="9" t="s">
        <v>20</v>
      </c>
      <c r="C8" s="61"/>
      <c r="D8" s="17"/>
      <c r="E8" s="51"/>
      <c r="F8" s="16"/>
      <c r="G8" s="15"/>
      <c r="H8" s="15"/>
      <c r="I8" s="15"/>
      <c r="J8" s="35"/>
      <c r="K8" s="15"/>
      <c r="L8" s="15"/>
    </row>
    <row r="9" spans="1:12" ht="19.5" customHeight="1" x14ac:dyDescent="0.2">
      <c r="A9" s="5">
        <v>5</v>
      </c>
      <c r="B9" s="9" t="s">
        <v>20</v>
      </c>
      <c r="C9" s="60" t="s">
        <v>14</v>
      </c>
      <c r="D9" s="65" t="s">
        <v>65</v>
      </c>
      <c r="E9" s="51" t="s">
        <v>68</v>
      </c>
      <c r="F9" s="16" t="s">
        <v>82</v>
      </c>
      <c r="G9" s="15"/>
      <c r="H9" s="15" t="s">
        <v>75</v>
      </c>
      <c r="I9" s="15"/>
      <c r="J9" s="35"/>
      <c r="K9" s="15"/>
      <c r="L9" s="15"/>
    </row>
    <row r="10" spans="1:12" ht="19.5" customHeight="1" x14ac:dyDescent="0.2">
      <c r="A10" s="5">
        <v>6</v>
      </c>
      <c r="B10" s="9"/>
      <c r="C10" s="61"/>
      <c r="D10" s="66"/>
      <c r="E10" s="51" t="s">
        <v>69</v>
      </c>
      <c r="F10" s="16" t="s">
        <v>70</v>
      </c>
      <c r="G10" s="15"/>
      <c r="H10" s="15" t="s">
        <v>75</v>
      </c>
      <c r="I10" s="15"/>
      <c r="J10" s="35"/>
      <c r="K10" s="15"/>
      <c r="L10" s="15"/>
    </row>
    <row r="11" spans="1:12" ht="19.5" customHeight="1" x14ac:dyDescent="0.2">
      <c r="A11" s="5">
        <v>7</v>
      </c>
      <c r="B11" s="9" t="s">
        <v>20</v>
      </c>
      <c r="C11" s="59" t="s">
        <v>15</v>
      </c>
      <c r="D11" s="63" t="s">
        <v>66</v>
      </c>
      <c r="E11" s="51" t="s">
        <v>71</v>
      </c>
      <c r="F11" s="16" t="s">
        <v>70</v>
      </c>
      <c r="G11" s="15"/>
      <c r="H11" s="15" t="s">
        <v>75</v>
      </c>
      <c r="I11" s="15"/>
      <c r="J11" s="35"/>
      <c r="K11" s="15"/>
      <c r="L11" s="15"/>
    </row>
    <row r="12" spans="1:12" ht="19.5" customHeight="1" x14ac:dyDescent="0.2">
      <c r="A12" s="5">
        <v>8</v>
      </c>
      <c r="B12" s="9"/>
      <c r="C12" s="59"/>
      <c r="D12" s="64"/>
      <c r="E12" s="51" t="s">
        <v>72</v>
      </c>
      <c r="F12" s="16" t="s">
        <v>70</v>
      </c>
      <c r="G12" s="15"/>
      <c r="H12" s="15" t="s">
        <v>75</v>
      </c>
      <c r="I12" s="15"/>
      <c r="J12" s="35"/>
      <c r="K12" s="15"/>
      <c r="L12" s="15"/>
    </row>
    <row r="13" spans="1:12" ht="19.5" customHeight="1" x14ac:dyDescent="0.2">
      <c r="A13" s="5">
        <v>9</v>
      </c>
      <c r="B13" s="9" t="s">
        <v>20</v>
      </c>
      <c r="C13" s="59" t="s">
        <v>17</v>
      </c>
      <c r="D13" s="65" t="s">
        <v>67</v>
      </c>
      <c r="E13" s="51" t="s">
        <v>73</v>
      </c>
      <c r="F13" s="16" t="s">
        <v>70</v>
      </c>
      <c r="G13" s="15"/>
      <c r="H13" s="15" t="s">
        <v>75</v>
      </c>
      <c r="I13" s="15"/>
      <c r="J13" s="35"/>
      <c r="K13" s="15"/>
      <c r="L13" s="15"/>
    </row>
    <row r="14" spans="1:12" ht="19.5" customHeight="1" x14ac:dyDescent="0.2">
      <c r="A14" s="5">
        <v>10</v>
      </c>
      <c r="B14" s="9"/>
      <c r="C14" s="59"/>
      <c r="D14" s="66"/>
      <c r="E14" s="51" t="s">
        <v>74</v>
      </c>
      <c r="F14" s="16" t="s">
        <v>70</v>
      </c>
      <c r="G14" s="15"/>
      <c r="H14" s="15" t="s">
        <v>75</v>
      </c>
      <c r="I14" s="15"/>
      <c r="J14" s="35"/>
      <c r="K14" s="15"/>
      <c r="L14" s="15"/>
    </row>
    <row r="15" spans="1:12" ht="19.5" customHeight="1" x14ac:dyDescent="0.2">
      <c r="A15" s="5">
        <v>11</v>
      </c>
      <c r="B15" s="9" t="s">
        <v>20</v>
      </c>
      <c r="C15" s="60" t="s">
        <v>18</v>
      </c>
      <c r="D15" s="17"/>
      <c r="E15" s="51"/>
      <c r="F15" s="16"/>
      <c r="G15" s="15"/>
      <c r="H15" s="15"/>
      <c r="I15" s="15"/>
      <c r="J15" s="35"/>
      <c r="K15" s="15"/>
      <c r="L15" s="15"/>
    </row>
    <row r="16" spans="1:12" ht="19.5" customHeight="1" x14ac:dyDescent="0.2">
      <c r="A16" s="5">
        <v>12</v>
      </c>
      <c r="B16" s="9" t="s">
        <v>20</v>
      </c>
      <c r="C16" s="61"/>
      <c r="D16" s="17"/>
      <c r="E16" s="51"/>
      <c r="F16" s="16"/>
      <c r="G16" s="15"/>
      <c r="H16" s="15"/>
      <c r="I16" s="15"/>
      <c r="J16" s="35"/>
      <c r="K16" s="15"/>
      <c r="L16" s="15"/>
    </row>
    <row r="17" spans="1:12" ht="19.5" customHeight="1" x14ac:dyDescent="0.2">
      <c r="A17" s="5">
        <v>13</v>
      </c>
      <c r="B17" s="9"/>
      <c r="C17" s="61"/>
      <c r="D17" s="17"/>
      <c r="E17" s="51"/>
      <c r="F17" s="16"/>
      <c r="G17" s="15"/>
      <c r="H17" s="15"/>
      <c r="I17" s="15"/>
      <c r="J17" s="35"/>
      <c r="K17" s="15"/>
      <c r="L17" s="15"/>
    </row>
    <row r="18" spans="1:12" ht="19.5" customHeight="1" x14ac:dyDescent="0.2">
      <c r="A18" s="5">
        <v>14</v>
      </c>
      <c r="B18" s="9"/>
      <c r="C18" s="61"/>
      <c r="D18" s="17"/>
      <c r="E18" s="15"/>
      <c r="F18" s="16"/>
      <c r="G18" s="15"/>
      <c r="H18" s="15"/>
      <c r="I18" s="15"/>
      <c r="J18" s="35"/>
      <c r="K18" s="15"/>
      <c r="L18" s="15"/>
    </row>
    <row r="19" spans="1:12" ht="19.5" customHeight="1" x14ac:dyDescent="0.2">
      <c r="A19" s="5">
        <v>15</v>
      </c>
      <c r="B19" s="9" t="s">
        <v>20</v>
      </c>
      <c r="C19" s="59" t="s">
        <v>16</v>
      </c>
      <c r="D19" s="18"/>
      <c r="E19" s="15"/>
      <c r="F19" s="16"/>
      <c r="G19" s="15"/>
      <c r="H19" s="15"/>
      <c r="I19" s="15"/>
      <c r="J19" s="35"/>
      <c r="K19" s="15"/>
      <c r="L19" s="15"/>
    </row>
    <row r="20" spans="1:12" ht="19.5" customHeight="1" x14ac:dyDescent="0.2">
      <c r="A20" s="5">
        <v>16</v>
      </c>
      <c r="B20" s="9"/>
      <c r="C20" s="59"/>
      <c r="D20" s="18"/>
      <c r="E20" s="15"/>
      <c r="F20" s="16"/>
      <c r="G20" s="15"/>
      <c r="H20" s="15"/>
      <c r="I20" s="15"/>
      <c r="J20" s="35"/>
      <c r="K20" s="15"/>
      <c r="L20" s="15"/>
    </row>
    <row r="21" spans="1:12" ht="19.5" customHeight="1" x14ac:dyDescent="0.2">
      <c r="A21" s="5">
        <v>17</v>
      </c>
      <c r="B21" s="9" t="s">
        <v>20</v>
      </c>
      <c r="C21" s="59" t="s">
        <v>19</v>
      </c>
      <c r="D21" s="17"/>
      <c r="E21" s="15"/>
      <c r="F21" s="16"/>
      <c r="G21" s="15"/>
      <c r="H21" s="15"/>
      <c r="I21" s="15"/>
      <c r="J21" s="35"/>
      <c r="K21" s="15"/>
      <c r="L21" s="15"/>
    </row>
    <row r="22" spans="1:12" ht="19.5" customHeight="1" x14ac:dyDescent="0.2">
      <c r="A22" s="5">
        <v>18</v>
      </c>
      <c r="B22" s="9"/>
      <c r="C22" s="59"/>
      <c r="D22" s="17"/>
      <c r="E22" s="15"/>
      <c r="F22" s="16"/>
      <c r="G22" s="15"/>
      <c r="H22" s="15"/>
      <c r="I22" s="15"/>
      <c r="J22" s="35"/>
      <c r="K22" s="15"/>
      <c r="L22" s="15"/>
    </row>
    <row r="23" spans="1:12" ht="19.5" customHeight="1" x14ac:dyDescent="0.2">
      <c r="A23" s="5">
        <v>19</v>
      </c>
      <c r="B23" s="9"/>
      <c r="C23" s="62" t="s">
        <v>12</v>
      </c>
      <c r="D23" s="18"/>
      <c r="E23" s="15"/>
      <c r="F23" s="16"/>
      <c r="G23" s="15"/>
      <c r="H23" s="15"/>
      <c r="I23" s="15"/>
      <c r="J23" s="35"/>
      <c r="K23" s="15"/>
      <c r="L23" s="15"/>
    </row>
    <row r="24" spans="1:12" ht="19.5" customHeight="1" x14ac:dyDescent="0.2">
      <c r="A24" s="5">
        <v>20</v>
      </c>
      <c r="B24" s="9"/>
      <c r="C24" s="61"/>
      <c r="D24" s="18"/>
      <c r="E24" s="15"/>
      <c r="F24" s="16"/>
      <c r="G24" s="15"/>
      <c r="H24" s="15"/>
      <c r="I24" s="15"/>
      <c r="J24" s="35"/>
      <c r="K24" s="15"/>
      <c r="L24" s="15"/>
    </row>
    <row r="25" spans="1:12" ht="19.5" customHeight="1" x14ac:dyDescent="0.2">
      <c r="A25" s="5">
        <v>21</v>
      </c>
      <c r="B25" s="9" t="s">
        <v>20</v>
      </c>
      <c r="C25" s="60" t="s">
        <v>13</v>
      </c>
      <c r="D25" s="17"/>
      <c r="E25" s="15"/>
      <c r="F25" s="16"/>
      <c r="G25" s="15"/>
      <c r="H25" s="15"/>
      <c r="I25" s="15"/>
      <c r="J25" s="35"/>
      <c r="K25" s="15"/>
      <c r="L25" s="15"/>
    </row>
    <row r="26" spans="1:12" ht="19.5" customHeight="1" x14ac:dyDescent="0.2">
      <c r="A26" s="5">
        <v>22</v>
      </c>
      <c r="B26" s="9" t="s">
        <v>20</v>
      </c>
      <c r="C26" s="61"/>
      <c r="D26" s="17"/>
      <c r="E26" s="15"/>
      <c r="F26" s="16"/>
      <c r="G26" s="15"/>
      <c r="H26" s="15"/>
      <c r="I26" s="15"/>
      <c r="J26" s="35"/>
      <c r="K26" s="15"/>
      <c r="L26" s="15"/>
    </row>
    <row r="27" spans="1:12" ht="19.5" customHeight="1" x14ac:dyDescent="0.2">
      <c r="A27" s="5">
        <v>23</v>
      </c>
      <c r="B27" s="9" t="s">
        <v>20</v>
      </c>
      <c r="C27" s="60" t="s">
        <v>14</v>
      </c>
      <c r="D27" s="18"/>
      <c r="E27" s="15"/>
      <c r="F27" s="16"/>
      <c r="G27" s="15"/>
      <c r="H27" s="15"/>
      <c r="I27" s="15"/>
      <c r="J27" s="35"/>
      <c r="K27" s="15"/>
      <c r="L27" s="15"/>
    </row>
    <row r="28" spans="1:12" ht="19.5" customHeight="1" x14ac:dyDescent="0.2">
      <c r="A28" s="5">
        <v>24</v>
      </c>
      <c r="B28" s="9"/>
      <c r="C28" s="61"/>
      <c r="D28" s="18"/>
      <c r="E28" s="15"/>
      <c r="F28" s="16"/>
      <c r="G28" s="15"/>
      <c r="H28" s="15"/>
      <c r="I28" s="15"/>
      <c r="J28" s="35"/>
      <c r="K28" s="15"/>
      <c r="L28" s="15"/>
    </row>
    <row r="29" spans="1:12" ht="19.5" customHeight="1" x14ac:dyDescent="0.2">
      <c r="A29" s="5">
        <v>25</v>
      </c>
      <c r="B29" s="9" t="s">
        <v>20</v>
      </c>
      <c r="C29" s="59" t="s">
        <v>15</v>
      </c>
      <c r="D29" s="17"/>
      <c r="E29" s="15"/>
      <c r="F29" s="16"/>
      <c r="G29" s="15"/>
      <c r="H29" s="15"/>
      <c r="I29" s="15"/>
      <c r="J29" s="35"/>
      <c r="K29" s="15"/>
      <c r="L29" s="15"/>
    </row>
    <row r="30" spans="1:12" ht="19.5" customHeight="1" x14ac:dyDescent="0.2">
      <c r="A30" s="5">
        <v>26</v>
      </c>
      <c r="B30" s="9"/>
      <c r="C30" s="59"/>
      <c r="D30" s="17"/>
      <c r="E30" s="15"/>
      <c r="F30" s="15"/>
      <c r="G30" s="15"/>
      <c r="H30" s="15"/>
      <c r="I30" s="15"/>
      <c r="J30" s="35"/>
      <c r="K30" s="15"/>
      <c r="L30" s="15"/>
    </row>
    <row r="31" spans="1:12" ht="19.5" customHeight="1" x14ac:dyDescent="0.2">
      <c r="A31" s="5">
        <v>27</v>
      </c>
      <c r="B31" s="9" t="s">
        <v>20</v>
      </c>
      <c r="C31" s="59" t="s">
        <v>17</v>
      </c>
      <c r="D31" s="18"/>
      <c r="E31" s="15"/>
      <c r="F31" s="16"/>
      <c r="G31" s="15"/>
      <c r="H31" s="15"/>
      <c r="I31" s="15"/>
      <c r="J31" s="35"/>
      <c r="K31" s="15"/>
      <c r="L31" s="15"/>
    </row>
    <row r="32" spans="1:12" ht="19.5" customHeight="1" x14ac:dyDescent="0.2">
      <c r="A32" s="5">
        <v>28</v>
      </c>
      <c r="B32" s="9"/>
      <c r="C32" s="59"/>
      <c r="D32" s="18"/>
      <c r="E32" s="15"/>
      <c r="F32" s="16"/>
      <c r="G32" s="15"/>
      <c r="H32" s="15"/>
      <c r="I32" s="15"/>
      <c r="J32" s="35"/>
      <c r="K32" s="15"/>
      <c r="L32" s="15"/>
    </row>
    <row r="33" spans="1:12" ht="19.5" customHeight="1" x14ac:dyDescent="0.2">
      <c r="A33" s="5">
        <v>29</v>
      </c>
      <c r="B33" s="9" t="s">
        <v>20</v>
      </c>
      <c r="C33" s="60" t="s">
        <v>18</v>
      </c>
      <c r="D33" s="17"/>
      <c r="E33" s="15"/>
      <c r="F33" s="16"/>
      <c r="G33" s="15"/>
      <c r="H33" s="15"/>
      <c r="I33" s="15"/>
      <c r="J33" s="35"/>
      <c r="K33" s="15"/>
      <c r="L33" s="15"/>
    </row>
    <row r="34" spans="1:12" ht="19.5" customHeight="1" x14ac:dyDescent="0.2">
      <c r="A34" s="5">
        <v>30</v>
      </c>
      <c r="B34" s="9" t="s">
        <v>20</v>
      </c>
      <c r="C34" s="61"/>
      <c r="D34" s="17"/>
      <c r="E34" s="15"/>
      <c r="F34" s="16"/>
      <c r="G34" s="15"/>
      <c r="H34" s="15"/>
      <c r="I34" s="15"/>
      <c r="J34" s="35"/>
      <c r="K34" s="15"/>
      <c r="L34" s="15"/>
    </row>
    <row r="35" spans="1:12" ht="19.5" customHeight="1" x14ac:dyDescent="0.2">
      <c r="A35" s="5">
        <v>31</v>
      </c>
      <c r="B35" s="9"/>
      <c r="C35" s="61"/>
      <c r="D35" s="17"/>
      <c r="E35" s="15"/>
      <c r="F35" s="16"/>
      <c r="G35" s="15"/>
      <c r="H35" s="15"/>
      <c r="I35" s="15"/>
      <c r="J35" s="35"/>
      <c r="K35" s="15"/>
      <c r="L35" s="15"/>
    </row>
    <row r="36" spans="1:12" ht="19.5" customHeight="1" x14ac:dyDescent="0.2">
      <c r="A36" s="5">
        <v>32</v>
      </c>
      <c r="B36" s="9"/>
      <c r="C36" s="61"/>
      <c r="D36" s="17"/>
      <c r="E36" s="15"/>
      <c r="F36" s="16"/>
      <c r="G36" s="15"/>
      <c r="H36" s="15"/>
      <c r="I36" s="15"/>
      <c r="J36" s="35"/>
      <c r="K36" s="15"/>
      <c r="L36" s="15"/>
    </row>
    <row r="37" spans="1:12" ht="19.5" customHeight="1" x14ac:dyDescent="0.2">
      <c r="A37" s="5">
        <v>33</v>
      </c>
      <c r="B37" s="9" t="s">
        <v>20</v>
      </c>
      <c r="C37" s="59" t="s">
        <v>16</v>
      </c>
      <c r="D37" s="18"/>
      <c r="E37" s="15"/>
      <c r="F37" s="16"/>
      <c r="G37" s="15"/>
      <c r="H37" s="15"/>
      <c r="I37" s="15"/>
      <c r="J37" s="35"/>
      <c r="K37" s="15"/>
      <c r="L37" s="15"/>
    </row>
    <row r="38" spans="1:12" ht="19.5" customHeight="1" x14ac:dyDescent="0.2">
      <c r="A38" s="5">
        <v>34</v>
      </c>
      <c r="B38" s="9"/>
      <c r="C38" s="59"/>
      <c r="D38" s="18"/>
      <c r="E38" s="15"/>
      <c r="F38" s="16"/>
      <c r="G38" s="15"/>
      <c r="H38" s="15"/>
      <c r="I38" s="15"/>
      <c r="J38" s="35"/>
      <c r="K38" s="15"/>
      <c r="L38" s="15"/>
    </row>
    <row r="39" spans="1:12" ht="19.5" customHeight="1" x14ac:dyDescent="0.2">
      <c r="A39" s="5">
        <v>35</v>
      </c>
      <c r="B39" s="9" t="s">
        <v>20</v>
      </c>
      <c r="C39" s="59" t="s">
        <v>19</v>
      </c>
      <c r="D39" s="17"/>
      <c r="E39" s="15"/>
      <c r="F39" s="16"/>
      <c r="G39" s="15"/>
      <c r="H39" s="15"/>
      <c r="I39" s="15"/>
      <c r="J39" s="35"/>
      <c r="K39" s="15"/>
      <c r="L39" s="15"/>
    </row>
    <row r="40" spans="1:12" ht="19.5" customHeight="1" x14ac:dyDescent="0.2">
      <c r="A40" s="5">
        <v>36</v>
      </c>
      <c r="B40" s="9"/>
      <c r="C40" s="59"/>
      <c r="D40" s="17"/>
      <c r="E40" s="15"/>
      <c r="F40" s="16"/>
      <c r="G40" s="15"/>
      <c r="H40" s="15"/>
      <c r="I40" s="15"/>
      <c r="J40" s="35"/>
      <c r="K40" s="15"/>
      <c r="L40" s="15"/>
    </row>
    <row r="41" spans="1:12" ht="19.5" customHeight="1" x14ac:dyDescent="0.2">
      <c r="A41" s="5">
        <v>37</v>
      </c>
      <c r="B41" s="9"/>
      <c r="C41" s="62" t="s">
        <v>12</v>
      </c>
      <c r="D41" s="18"/>
      <c r="E41" s="15"/>
      <c r="F41" s="16"/>
      <c r="G41" s="15"/>
      <c r="H41" s="15"/>
      <c r="I41" s="15"/>
      <c r="J41" s="35"/>
      <c r="K41" s="15"/>
      <c r="L41" s="15"/>
    </row>
    <row r="42" spans="1:12" ht="19.5" customHeight="1" x14ac:dyDescent="0.2">
      <c r="A42" s="5">
        <v>38</v>
      </c>
      <c r="B42" s="9"/>
      <c r="C42" s="61"/>
      <c r="D42" s="18"/>
      <c r="E42" s="15"/>
      <c r="F42" s="16"/>
      <c r="G42" s="15"/>
      <c r="H42" s="15"/>
      <c r="I42" s="15"/>
      <c r="J42" s="35"/>
      <c r="K42" s="15"/>
      <c r="L42" s="15"/>
    </row>
    <row r="43" spans="1:12" ht="19.5" customHeight="1" x14ac:dyDescent="0.2">
      <c r="A43" s="5">
        <v>39</v>
      </c>
      <c r="B43" s="9" t="s">
        <v>20</v>
      </c>
      <c r="C43" s="60" t="s">
        <v>13</v>
      </c>
      <c r="D43" s="17"/>
      <c r="E43" s="15"/>
      <c r="F43" s="16"/>
      <c r="G43" s="15"/>
      <c r="H43" s="15"/>
      <c r="I43" s="15"/>
      <c r="J43" s="35"/>
      <c r="K43" s="15"/>
      <c r="L43" s="15"/>
    </row>
    <row r="44" spans="1:12" ht="19.5" customHeight="1" x14ac:dyDescent="0.2">
      <c r="A44" s="5">
        <v>40</v>
      </c>
      <c r="B44" s="9" t="s">
        <v>20</v>
      </c>
      <c r="C44" s="61"/>
      <c r="D44" s="17"/>
      <c r="E44" s="15"/>
      <c r="F44" s="16"/>
      <c r="G44" s="15"/>
      <c r="H44" s="15"/>
      <c r="I44" s="15"/>
      <c r="J44" s="35"/>
      <c r="K44" s="15"/>
      <c r="L44" s="15"/>
    </row>
    <row r="45" spans="1:12" ht="19.5" customHeight="1" x14ac:dyDescent="0.2">
      <c r="A45" s="5">
        <v>41</v>
      </c>
      <c r="B45" s="9" t="s">
        <v>20</v>
      </c>
      <c r="C45" s="60" t="s">
        <v>14</v>
      </c>
      <c r="D45" s="18"/>
      <c r="E45" s="15"/>
      <c r="F45" s="16"/>
      <c r="G45" s="15"/>
      <c r="H45" s="15"/>
      <c r="I45" s="15"/>
      <c r="J45" s="35"/>
      <c r="K45" s="15"/>
      <c r="L45" s="15"/>
    </row>
    <row r="46" spans="1:12" ht="19.5" customHeight="1" x14ac:dyDescent="0.2">
      <c r="A46" s="5">
        <v>42</v>
      </c>
      <c r="B46" s="9"/>
      <c r="C46" s="61"/>
      <c r="D46" s="18"/>
      <c r="E46" s="15"/>
      <c r="F46" s="16"/>
      <c r="G46" s="15"/>
      <c r="H46" s="15"/>
      <c r="I46" s="15"/>
      <c r="J46" s="35"/>
      <c r="K46" s="15"/>
      <c r="L46" s="15"/>
    </row>
    <row r="47" spans="1:12" ht="19.5" customHeight="1" x14ac:dyDescent="0.2">
      <c r="A47" s="5">
        <v>43</v>
      </c>
      <c r="B47" s="9" t="s">
        <v>20</v>
      </c>
      <c r="C47" s="59" t="s">
        <v>15</v>
      </c>
      <c r="D47" s="17"/>
      <c r="E47" s="15"/>
      <c r="F47" s="16"/>
      <c r="G47" s="15"/>
      <c r="H47" s="15"/>
      <c r="I47" s="15"/>
      <c r="J47" s="35"/>
      <c r="K47" s="15"/>
      <c r="L47" s="15"/>
    </row>
    <row r="48" spans="1:12" ht="19.5" customHeight="1" x14ac:dyDescent="0.2">
      <c r="A48" s="5">
        <v>44</v>
      </c>
      <c r="B48" s="9"/>
      <c r="C48" s="59"/>
      <c r="D48" s="17"/>
      <c r="E48" s="15"/>
      <c r="F48" s="15"/>
      <c r="G48" s="15"/>
      <c r="H48" s="15"/>
      <c r="I48" s="15"/>
      <c r="J48" s="35"/>
      <c r="K48" s="15"/>
      <c r="L48" s="15"/>
    </row>
    <row r="49" spans="1:12" ht="19.5" customHeight="1" x14ac:dyDescent="0.2">
      <c r="A49" s="5">
        <v>45</v>
      </c>
      <c r="B49" s="9" t="s">
        <v>20</v>
      </c>
      <c r="C49" s="59" t="s">
        <v>17</v>
      </c>
      <c r="D49" s="18"/>
      <c r="E49" s="15"/>
      <c r="F49" s="16"/>
      <c r="G49" s="15"/>
      <c r="H49" s="15"/>
      <c r="I49" s="15"/>
      <c r="J49" s="35"/>
      <c r="K49" s="15"/>
      <c r="L49" s="15"/>
    </row>
    <row r="50" spans="1:12" ht="19.5" customHeight="1" x14ac:dyDescent="0.2">
      <c r="A50" s="5">
        <v>46</v>
      </c>
      <c r="B50" s="9"/>
      <c r="C50" s="59"/>
      <c r="D50" s="18"/>
      <c r="E50" s="15"/>
      <c r="F50" s="16"/>
      <c r="G50" s="15"/>
      <c r="H50" s="15"/>
      <c r="I50" s="15"/>
      <c r="J50" s="35"/>
      <c r="K50" s="15"/>
      <c r="L50" s="15"/>
    </row>
    <row r="51" spans="1:12" ht="19.5" customHeight="1" x14ac:dyDescent="0.2">
      <c r="A51" s="5">
        <v>47</v>
      </c>
      <c r="B51" s="9" t="s">
        <v>20</v>
      </c>
      <c r="C51" s="60" t="s">
        <v>18</v>
      </c>
      <c r="D51" s="17"/>
      <c r="E51" s="15"/>
      <c r="F51" s="16"/>
      <c r="G51" s="15"/>
      <c r="H51" s="15"/>
      <c r="I51" s="15"/>
      <c r="J51" s="35"/>
      <c r="K51" s="15"/>
      <c r="L51" s="15"/>
    </row>
    <row r="52" spans="1:12" ht="19.5" customHeight="1" x14ac:dyDescent="0.2">
      <c r="A52" s="5">
        <v>48</v>
      </c>
      <c r="B52" s="9" t="s">
        <v>20</v>
      </c>
      <c r="C52" s="61"/>
      <c r="D52" s="17"/>
      <c r="E52" s="15"/>
      <c r="F52" s="16"/>
      <c r="G52" s="15"/>
      <c r="H52" s="15"/>
      <c r="I52" s="15"/>
      <c r="J52" s="35"/>
      <c r="K52" s="15"/>
      <c r="L52" s="15"/>
    </row>
    <row r="53" spans="1:12" ht="19.5" customHeight="1" x14ac:dyDescent="0.2">
      <c r="A53" s="5">
        <v>49</v>
      </c>
      <c r="B53" s="9"/>
      <c r="C53" s="61"/>
      <c r="D53" s="17"/>
      <c r="E53" s="15"/>
      <c r="F53" s="16"/>
      <c r="G53" s="15"/>
      <c r="H53" s="15"/>
      <c r="I53" s="15"/>
      <c r="J53" s="35"/>
      <c r="K53" s="15"/>
      <c r="L53" s="15"/>
    </row>
    <row r="54" spans="1:12" ht="19.5" customHeight="1" x14ac:dyDescent="0.2">
      <c r="A54" s="5">
        <v>50</v>
      </c>
      <c r="B54" s="9"/>
      <c r="C54" s="61"/>
      <c r="D54" s="17"/>
      <c r="E54" s="15"/>
      <c r="F54" s="16"/>
      <c r="G54" s="15"/>
      <c r="H54" s="15"/>
      <c r="I54" s="15"/>
      <c r="J54" s="35"/>
      <c r="K54" s="15"/>
      <c r="L54" s="15"/>
    </row>
    <row r="55" spans="1:12" ht="19.5" customHeight="1" x14ac:dyDescent="0.2">
      <c r="A55" s="5">
        <v>51</v>
      </c>
      <c r="B55" s="9" t="s">
        <v>20</v>
      </c>
      <c r="C55" s="59" t="s">
        <v>16</v>
      </c>
      <c r="D55" s="18"/>
      <c r="E55" s="15"/>
      <c r="F55" s="16"/>
      <c r="G55" s="15"/>
      <c r="H55" s="15"/>
      <c r="I55" s="15"/>
      <c r="J55" s="35"/>
      <c r="K55" s="15"/>
      <c r="L55" s="15"/>
    </row>
    <row r="56" spans="1:12" ht="19.5" customHeight="1" x14ac:dyDescent="0.2">
      <c r="A56" s="5">
        <v>52</v>
      </c>
      <c r="B56" s="9"/>
      <c r="C56" s="59"/>
      <c r="D56" s="18"/>
      <c r="E56" s="15"/>
      <c r="F56" s="16"/>
      <c r="G56" s="15"/>
      <c r="H56" s="15"/>
      <c r="I56" s="15"/>
      <c r="J56" s="35"/>
      <c r="K56" s="15"/>
      <c r="L56" s="15"/>
    </row>
    <row r="57" spans="1:12" ht="19.5" customHeight="1" x14ac:dyDescent="0.2">
      <c r="A57" s="5">
        <v>53</v>
      </c>
      <c r="B57" s="9" t="s">
        <v>20</v>
      </c>
      <c r="C57" s="59" t="s">
        <v>19</v>
      </c>
      <c r="D57" s="17"/>
      <c r="E57" s="15"/>
      <c r="F57" s="16"/>
      <c r="G57" s="15"/>
      <c r="H57" s="15"/>
      <c r="I57" s="15"/>
      <c r="J57" s="35"/>
      <c r="K57" s="15"/>
      <c r="L57" s="15"/>
    </row>
    <row r="58" spans="1:12" ht="19.5" customHeight="1" x14ac:dyDescent="0.2">
      <c r="A58" s="5">
        <v>54</v>
      </c>
      <c r="B58" s="9"/>
      <c r="C58" s="59"/>
      <c r="D58" s="17"/>
      <c r="E58" s="15"/>
      <c r="F58" s="16"/>
      <c r="G58" s="15"/>
      <c r="H58" s="15"/>
      <c r="I58" s="15"/>
      <c r="J58" s="35"/>
      <c r="K58" s="15"/>
      <c r="L58" s="15"/>
    </row>
    <row r="59" spans="1:12" ht="19.5" customHeight="1" x14ac:dyDescent="0.2">
      <c r="A59" s="5">
        <v>55</v>
      </c>
      <c r="B59" s="9"/>
      <c r="C59" s="62" t="s">
        <v>12</v>
      </c>
      <c r="D59" s="18"/>
      <c r="E59" s="15"/>
      <c r="F59" s="16"/>
      <c r="G59" s="15"/>
      <c r="H59" s="15"/>
      <c r="I59" s="15"/>
      <c r="J59" s="35"/>
      <c r="K59" s="15"/>
      <c r="L59" s="15"/>
    </row>
    <row r="60" spans="1:12" ht="19.5" customHeight="1" x14ac:dyDescent="0.2">
      <c r="A60" s="5">
        <v>56</v>
      </c>
      <c r="B60" s="9"/>
      <c r="C60" s="61"/>
      <c r="D60" s="18"/>
      <c r="E60" s="15"/>
      <c r="F60" s="16"/>
      <c r="G60" s="15"/>
      <c r="H60" s="15"/>
      <c r="I60" s="15"/>
      <c r="J60" s="35"/>
      <c r="K60" s="15"/>
      <c r="L60" s="15"/>
    </row>
    <row r="61" spans="1:12" ht="19.5" customHeight="1" x14ac:dyDescent="0.2">
      <c r="A61" s="5">
        <v>57</v>
      </c>
      <c r="B61" s="9" t="s">
        <v>20</v>
      </c>
      <c r="C61" s="60" t="s">
        <v>13</v>
      </c>
      <c r="D61" s="17"/>
      <c r="E61" s="15"/>
      <c r="F61" s="16"/>
      <c r="G61" s="15"/>
      <c r="H61" s="15"/>
      <c r="I61" s="15"/>
      <c r="J61" s="35"/>
      <c r="K61" s="15"/>
      <c r="L61" s="15"/>
    </row>
    <row r="62" spans="1:12" ht="19.5" customHeight="1" x14ac:dyDescent="0.2">
      <c r="A62" s="5">
        <v>58</v>
      </c>
      <c r="B62" s="9" t="s">
        <v>20</v>
      </c>
      <c r="C62" s="61"/>
      <c r="D62" s="17"/>
      <c r="E62" s="15"/>
      <c r="F62" s="16"/>
      <c r="G62" s="15"/>
      <c r="H62" s="15"/>
      <c r="I62" s="15"/>
      <c r="J62" s="35"/>
      <c r="K62" s="15"/>
      <c r="L62" s="15"/>
    </row>
    <row r="63" spans="1:12" ht="19.5" customHeight="1" x14ac:dyDescent="0.2">
      <c r="A63" s="5">
        <v>59</v>
      </c>
      <c r="B63" s="9" t="s">
        <v>20</v>
      </c>
      <c r="C63" s="60" t="s">
        <v>14</v>
      </c>
      <c r="D63" s="18"/>
      <c r="E63" s="15"/>
      <c r="F63" s="16"/>
      <c r="G63" s="15"/>
      <c r="H63" s="15"/>
      <c r="I63" s="15"/>
      <c r="J63" s="35"/>
      <c r="K63" s="15"/>
      <c r="L63" s="15"/>
    </row>
    <row r="64" spans="1:12" ht="19.5" customHeight="1" x14ac:dyDescent="0.2">
      <c r="A64" s="5">
        <v>60</v>
      </c>
      <c r="B64" s="9"/>
      <c r="C64" s="61"/>
      <c r="D64" s="18"/>
      <c r="E64" s="15"/>
      <c r="F64" s="16"/>
      <c r="G64" s="15"/>
      <c r="H64" s="15"/>
      <c r="I64" s="15"/>
      <c r="J64" s="35"/>
      <c r="K64" s="15"/>
      <c r="L64" s="15"/>
    </row>
    <row r="65" spans="1:12" ht="19.5" customHeight="1" x14ac:dyDescent="0.2">
      <c r="A65" s="5">
        <v>61</v>
      </c>
      <c r="B65" s="9" t="s">
        <v>20</v>
      </c>
      <c r="C65" s="59" t="s">
        <v>15</v>
      </c>
      <c r="D65" s="17"/>
      <c r="E65" s="15"/>
      <c r="F65" s="16"/>
      <c r="G65" s="15"/>
      <c r="H65" s="15"/>
      <c r="I65" s="15"/>
      <c r="J65" s="35"/>
      <c r="K65" s="15"/>
      <c r="L65" s="15"/>
    </row>
    <row r="66" spans="1:12" ht="19.5" customHeight="1" x14ac:dyDescent="0.2">
      <c r="A66" s="5">
        <v>62</v>
      </c>
      <c r="B66" s="9"/>
      <c r="C66" s="59"/>
      <c r="D66" s="17"/>
      <c r="E66" s="15"/>
      <c r="F66" s="15"/>
      <c r="G66" s="15"/>
      <c r="H66" s="15"/>
      <c r="I66" s="15"/>
      <c r="J66" s="35"/>
      <c r="K66" s="15"/>
      <c r="L66" s="15"/>
    </row>
    <row r="67" spans="1:12" ht="19.5" customHeight="1" x14ac:dyDescent="0.2">
      <c r="A67" s="5">
        <v>63</v>
      </c>
      <c r="B67" s="9" t="s">
        <v>20</v>
      </c>
      <c r="C67" s="59" t="s">
        <v>17</v>
      </c>
      <c r="D67" s="18"/>
      <c r="E67" s="15"/>
      <c r="F67" s="16"/>
      <c r="G67" s="15"/>
      <c r="H67" s="15"/>
      <c r="I67" s="15"/>
      <c r="J67" s="35"/>
      <c r="K67" s="15"/>
      <c r="L67" s="15"/>
    </row>
    <row r="68" spans="1:12" ht="19.5" customHeight="1" x14ac:dyDescent="0.2">
      <c r="A68" s="5">
        <v>64</v>
      </c>
      <c r="B68" s="9"/>
      <c r="C68" s="59"/>
      <c r="D68" s="18"/>
      <c r="E68" s="15"/>
      <c r="F68" s="16"/>
      <c r="G68" s="15"/>
      <c r="H68" s="15"/>
      <c r="I68" s="15"/>
      <c r="J68" s="35"/>
      <c r="K68" s="15"/>
      <c r="L68" s="15"/>
    </row>
    <row r="69" spans="1:12" ht="19.5" customHeight="1" x14ac:dyDescent="0.2">
      <c r="A69" s="5">
        <v>65</v>
      </c>
      <c r="B69" s="9" t="s">
        <v>20</v>
      </c>
      <c r="C69" s="60" t="s">
        <v>18</v>
      </c>
      <c r="D69" s="17"/>
      <c r="E69" s="15"/>
      <c r="F69" s="16"/>
      <c r="G69" s="15"/>
      <c r="H69" s="15"/>
      <c r="I69" s="15"/>
      <c r="J69" s="35"/>
      <c r="K69" s="15"/>
      <c r="L69" s="15"/>
    </row>
    <row r="70" spans="1:12" ht="19.5" customHeight="1" x14ac:dyDescent="0.2">
      <c r="A70" s="5">
        <v>66</v>
      </c>
      <c r="B70" s="9" t="s">
        <v>20</v>
      </c>
      <c r="C70" s="61"/>
      <c r="D70" s="17"/>
      <c r="E70" s="15"/>
      <c r="F70" s="16"/>
      <c r="G70" s="15"/>
      <c r="H70" s="15"/>
      <c r="I70" s="15"/>
      <c r="J70" s="35"/>
      <c r="K70" s="15"/>
      <c r="L70" s="15"/>
    </row>
    <row r="71" spans="1:12" ht="19.5" customHeight="1" x14ac:dyDescent="0.2">
      <c r="A71" s="5">
        <v>67</v>
      </c>
      <c r="B71" s="9"/>
      <c r="C71" s="61"/>
      <c r="D71" s="17"/>
      <c r="E71" s="15"/>
      <c r="F71" s="16"/>
      <c r="G71" s="15"/>
      <c r="H71" s="15"/>
      <c r="I71" s="15"/>
      <c r="J71" s="35"/>
      <c r="K71" s="15"/>
      <c r="L71" s="15"/>
    </row>
    <row r="72" spans="1:12" ht="19.5" customHeight="1" x14ac:dyDescent="0.2">
      <c r="A72" s="5">
        <v>68</v>
      </c>
      <c r="B72" s="9"/>
      <c r="C72" s="61"/>
      <c r="D72" s="17"/>
      <c r="E72" s="15"/>
      <c r="F72" s="16"/>
      <c r="G72" s="15"/>
      <c r="H72" s="15"/>
      <c r="I72" s="15"/>
      <c r="J72" s="35"/>
      <c r="K72" s="15"/>
      <c r="L72" s="15"/>
    </row>
    <row r="73" spans="1:12" ht="19.5" customHeight="1" x14ac:dyDescent="0.2">
      <c r="A73" s="5">
        <v>69</v>
      </c>
      <c r="B73" s="9" t="s">
        <v>20</v>
      </c>
      <c r="C73" s="59" t="s">
        <v>16</v>
      </c>
      <c r="D73" s="18"/>
      <c r="E73" s="15"/>
      <c r="F73" s="16"/>
      <c r="G73" s="15"/>
      <c r="H73" s="15"/>
      <c r="I73" s="15"/>
      <c r="J73" s="35"/>
      <c r="K73" s="15"/>
      <c r="L73" s="15"/>
    </row>
    <row r="74" spans="1:12" ht="19.5" customHeight="1" x14ac:dyDescent="0.2">
      <c r="A74" s="5">
        <v>70</v>
      </c>
      <c r="B74" s="9"/>
      <c r="C74" s="59"/>
      <c r="D74" s="18"/>
      <c r="E74" s="15"/>
      <c r="F74" s="16"/>
      <c r="G74" s="15"/>
      <c r="H74" s="15"/>
      <c r="I74" s="15"/>
      <c r="J74" s="35"/>
      <c r="K74" s="15"/>
      <c r="L74" s="15"/>
    </row>
    <row r="75" spans="1:12" ht="19.5" customHeight="1" x14ac:dyDescent="0.2">
      <c r="A75" s="5">
        <v>71</v>
      </c>
      <c r="B75" s="9" t="s">
        <v>20</v>
      </c>
      <c r="C75" s="59" t="s">
        <v>19</v>
      </c>
      <c r="D75" s="17"/>
      <c r="E75" s="15"/>
      <c r="F75" s="16"/>
      <c r="G75" s="15"/>
      <c r="H75" s="15"/>
      <c r="I75" s="15"/>
      <c r="J75" s="35"/>
      <c r="K75" s="15"/>
      <c r="L75" s="15"/>
    </row>
    <row r="76" spans="1:12" ht="19.5" customHeight="1" x14ac:dyDescent="0.2">
      <c r="A76" s="5">
        <v>72</v>
      </c>
      <c r="B76" s="9"/>
      <c r="C76" s="59"/>
      <c r="D76" s="17"/>
      <c r="E76" s="15"/>
      <c r="F76" s="16"/>
      <c r="G76" s="15"/>
      <c r="H76" s="15"/>
      <c r="I76" s="15"/>
      <c r="J76" s="35"/>
      <c r="K76" s="15"/>
      <c r="L76" s="15"/>
    </row>
    <row r="77" spans="1:12" ht="19.5" customHeight="1" x14ac:dyDescent="0.2">
      <c r="A77" s="5">
        <v>73</v>
      </c>
      <c r="B77" s="9"/>
      <c r="C77" s="62" t="s">
        <v>12</v>
      </c>
      <c r="D77" s="18"/>
      <c r="E77" s="15"/>
      <c r="F77" s="16"/>
      <c r="G77" s="15"/>
      <c r="H77" s="15"/>
      <c r="I77" s="15"/>
      <c r="J77" s="35"/>
      <c r="K77" s="15"/>
      <c r="L77" s="15"/>
    </row>
    <row r="78" spans="1:12" ht="19.5" customHeight="1" x14ac:dyDescent="0.2">
      <c r="A78" s="5">
        <v>74</v>
      </c>
      <c r="B78" s="9"/>
      <c r="C78" s="61"/>
      <c r="D78" s="18"/>
      <c r="E78" s="15"/>
      <c r="F78" s="16"/>
      <c r="G78" s="15"/>
      <c r="H78" s="15"/>
      <c r="I78" s="15"/>
      <c r="J78" s="35"/>
      <c r="K78" s="15"/>
      <c r="L78" s="15"/>
    </row>
    <row r="79" spans="1:12" ht="19.5" customHeight="1" x14ac:dyDescent="0.2">
      <c r="A79" s="5">
        <v>75</v>
      </c>
      <c r="B79" s="9" t="s">
        <v>20</v>
      </c>
      <c r="C79" s="60" t="s">
        <v>13</v>
      </c>
      <c r="D79" s="17"/>
      <c r="E79" s="15"/>
      <c r="F79" s="16"/>
      <c r="G79" s="15"/>
      <c r="H79" s="15"/>
      <c r="I79" s="15"/>
      <c r="J79" s="35"/>
      <c r="K79" s="15"/>
      <c r="L79" s="15"/>
    </row>
    <row r="80" spans="1:12" ht="19.5" customHeight="1" x14ac:dyDescent="0.2">
      <c r="A80" s="5">
        <v>76</v>
      </c>
      <c r="B80" s="9" t="s">
        <v>20</v>
      </c>
      <c r="C80" s="61"/>
      <c r="D80" s="17"/>
      <c r="E80" s="15"/>
      <c r="F80" s="16"/>
      <c r="G80" s="15"/>
      <c r="H80" s="15"/>
      <c r="I80" s="15"/>
      <c r="J80" s="35"/>
      <c r="K80" s="15"/>
      <c r="L80" s="15"/>
    </row>
    <row r="81" spans="1:12" ht="19.5" customHeight="1" x14ac:dyDescent="0.2">
      <c r="A81" s="5">
        <v>77</v>
      </c>
      <c r="B81" s="9" t="s">
        <v>20</v>
      </c>
      <c r="C81" s="60" t="s">
        <v>14</v>
      </c>
      <c r="D81" s="18"/>
      <c r="E81" s="15"/>
      <c r="F81" s="16"/>
      <c r="G81" s="15"/>
      <c r="H81" s="15"/>
      <c r="I81" s="15"/>
      <c r="J81" s="35"/>
      <c r="K81" s="15"/>
      <c r="L81" s="15"/>
    </row>
    <row r="82" spans="1:12" ht="19.5" customHeight="1" x14ac:dyDescent="0.2">
      <c r="A82" s="5">
        <v>78</v>
      </c>
      <c r="B82" s="9"/>
      <c r="C82" s="61"/>
      <c r="D82" s="18"/>
      <c r="E82" s="15"/>
      <c r="F82" s="16"/>
      <c r="G82" s="15"/>
      <c r="H82" s="15"/>
      <c r="I82" s="15"/>
      <c r="J82" s="35"/>
      <c r="K82" s="15"/>
      <c r="L82" s="15"/>
    </row>
    <row r="83" spans="1:12" ht="19.5" customHeight="1" x14ac:dyDescent="0.2">
      <c r="A83" s="5">
        <v>79</v>
      </c>
      <c r="B83" s="9" t="s">
        <v>20</v>
      </c>
      <c r="C83" s="59" t="s">
        <v>15</v>
      </c>
      <c r="D83" s="17"/>
      <c r="E83" s="15"/>
      <c r="F83" s="16"/>
      <c r="G83" s="15"/>
      <c r="H83" s="15"/>
      <c r="I83" s="15"/>
      <c r="J83" s="35"/>
      <c r="K83" s="15"/>
      <c r="L83" s="15"/>
    </row>
    <row r="84" spans="1:12" ht="19.5" customHeight="1" x14ac:dyDescent="0.2">
      <c r="A84" s="5">
        <v>80</v>
      </c>
      <c r="B84" s="9"/>
      <c r="C84" s="59"/>
      <c r="D84" s="17"/>
      <c r="E84" s="15"/>
      <c r="F84" s="15"/>
      <c r="G84" s="15"/>
      <c r="H84" s="15"/>
      <c r="I84" s="15"/>
      <c r="J84" s="35"/>
      <c r="K84" s="15"/>
      <c r="L84" s="15"/>
    </row>
    <row r="85" spans="1:12" ht="19.5" customHeight="1" x14ac:dyDescent="0.2">
      <c r="A85" s="5">
        <v>81</v>
      </c>
      <c r="B85" s="9" t="s">
        <v>20</v>
      </c>
      <c r="C85" s="59" t="s">
        <v>17</v>
      </c>
      <c r="D85" s="18"/>
      <c r="E85" s="15"/>
      <c r="F85" s="16"/>
      <c r="G85" s="15"/>
      <c r="H85" s="15"/>
      <c r="I85" s="15"/>
      <c r="J85" s="35"/>
      <c r="K85" s="15"/>
      <c r="L85" s="15"/>
    </row>
    <row r="86" spans="1:12" ht="19.5" customHeight="1" x14ac:dyDescent="0.2">
      <c r="A86" s="5">
        <v>82</v>
      </c>
      <c r="B86" s="9"/>
      <c r="C86" s="59"/>
      <c r="D86" s="18"/>
      <c r="E86" s="15"/>
      <c r="F86" s="16"/>
      <c r="G86" s="15"/>
      <c r="H86" s="15"/>
      <c r="I86" s="15"/>
      <c r="J86" s="35"/>
      <c r="K86" s="15"/>
      <c r="L86" s="15"/>
    </row>
    <row r="87" spans="1:12" ht="19.5" customHeight="1" x14ac:dyDescent="0.2">
      <c r="A87" s="5">
        <v>83</v>
      </c>
      <c r="B87" s="9" t="s">
        <v>20</v>
      </c>
      <c r="C87" s="60" t="s">
        <v>18</v>
      </c>
      <c r="D87" s="17"/>
      <c r="E87" s="15"/>
      <c r="F87" s="16"/>
      <c r="G87" s="15"/>
      <c r="H87" s="15"/>
      <c r="I87" s="15"/>
      <c r="J87" s="35"/>
      <c r="K87" s="15"/>
      <c r="L87" s="15"/>
    </row>
    <row r="88" spans="1:12" ht="19.5" customHeight="1" x14ac:dyDescent="0.2">
      <c r="A88" s="5">
        <v>84</v>
      </c>
      <c r="B88" s="9" t="s">
        <v>20</v>
      </c>
      <c r="C88" s="61"/>
      <c r="D88" s="17"/>
      <c r="E88" s="15"/>
      <c r="F88" s="16"/>
      <c r="G88" s="15"/>
      <c r="H88" s="15"/>
      <c r="I88" s="15"/>
      <c r="J88" s="35"/>
      <c r="K88" s="15"/>
      <c r="L88" s="15"/>
    </row>
    <row r="89" spans="1:12" ht="19.5" customHeight="1" x14ac:dyDescent="0.2">
      <c r="A89" s="5">
        <v>85</v>
      </c>
      <c r="B89" s="9"/>
      <c r="C89" s="61"/>
      <c r="D89" s="17"/>
      <c r="E89" s="15"/>
      <c r="F89" s="16"/>
      <c r="G89" s="15"/>
      <c r="H89" s="15"/>
      <c r="I89" s="15"/>
      <c r="J89" s="35"/>
      <c r="K89" s="15"/>
      <c r="L89" s="15"/>
    </row>
    <row r="90" spans="1:12" ht="19.5" customHeight="1" x14ac:dyDescent="0.2">
      <c r="A90" s="5">
        <v>86</v>
      </c>
      <c r="B90" s="9"/>
      <c r="C90" s="61"/>
      <c r="D90" s="17"/>
      <c r="E90" s="15"/>
      <c r="F90" s="16"/>
      <c r="G90" s="15"/>
      <c r="H90" s="15"/>
      <c r="I90" s="15"/>
      <c r="J90" s="35"/>
      <c r="K90" s="15"/>
      <c r="L90" s="15"/>
    </row>
    <row r="91" spans="1:12" ht="19.5" customHeight="1" x14ac:dyDescent="0.2">
      <c r="A91" s="5">
        <v>87</v>
      </c>
      <c r="B91" s="9" t="s">
        <v>20</v>
      </c>
      <c r="C91" s="59" t="s">
        <v>16</v>
      </c>
      <c r="D91" s="18"/>
      <c r="E91" s="15"/>
      <c r="F91" s="16"/>
      <c r="G91" s="15"/>
      <c r="H91" s="15"/>
      <c r="I91" s="15"/>
      <c r="J91" s="35"/>
      <c r="K91" s="15"/>
      <c r="L91" s="15"/>
    </row>
    <row r="92" spans="1:12" ht="19.5" customHeight="1" x14ac:dyDescent="0.2">
      <c r="A92" s="5">
        <v>88</v>
      </c>
      <c r="B92" s="9"/>
      <c r="C92" s="59"/>
      <c r="D92" s="18"/>
      <c r="E92" s="15"/>
      <c r="F92" s="16"/>
      <c r="G92" s="15"/>
      <c r="H92" s="15"/>
      <c r="I92" s="15"/>
      <c r="J92" s="35"/>
      <c r="K92" s="15"/>
      <c r="L92" s="15"/>
    </row>
    <row r="93" spans="1:12" ht="19.5" customHeight="1" x14ac:dyDescent="0.2">
      <c r="A93" s="5">
        <v>89</v>
      </c>
      <c r="B93" s="9" t="s">
        <v>20</v>
      </c>
      <c r="C93" s="59" t="s">
        <v>19</v>
      </c>
      <c r="D93" s="17"/>
      <c r="E93" s="15"/>
      <c r="F93" s="16"/>
      <c r="G93" s="15"/>
      <c r="H93" s="15"/>
      <c r="I93" s="15"/>
      <c r="J93" s="35"/>
      <c r="K93" s="15"/>
      <c r="L93" s="15"/>
    </row>
    <row r="94" spans="1:12" ht="19.5" customHeight="1" x14ac:dyDescent="0.2">
      <c r="A94" s="5">
        <v>90</v>
      </c>
      <c r="B94" s="9"/>
      <c r="C94" s="59"/>
      <c r="D94" s="17"/>
      <c r="E94" s="15"/>
      <c r="F94" s="16"/>
      <c r="G94" s="15"/>
      <c r="H94" s="15"/>
      <c r="I94" s="15"/>
      <c r="J94" s="35"/>
      <c r="K94" s="15"/>
      <c r="L94" s="15"/>
    </row>
    <row r="95" spans="1:12" ht="19.5" customHeight="1" x14ac:dyDescent="0.2">
      <c r="A95" s="5">
        <v>91</v>
      </c>
      <c r="B95" s="9"/>
      <c r="C95" s="62" t="s">
        <v>12</v>
      </c>
      <c r="D95" s="18"/>
      <c r="E95" s="15"/>
      <c r="F95" s="16"/>
      <c r="G95" s="15"/>
      <c r="H95" s="15"/>
      <c r="I95" s="15"/>
      <c r="J95" s="35"/>
      <c r="K95" s="15"/>
      <c r="L95" s="15"/>
    </row>
    <row r="96" spans="1:12" ht="19.5" customHeight="1" x14ac:dyDescent="0.2">
      <c r="A96" s="5">
        <v>92</v>
      </c>
      <c r="B96" s="9"/>
      <c r="C96" s="61"/>
      <c r="D96" s="18"/>
      <c r="E96" s="15"/>
      <c r="F96" s="16"/>
      <c r="G96" s="15"/>
      <c r="H96" s="15"/>
      <c r="I96" s="15"/>
      <c r="J96" s="35"/>
      <c r="K96" s="15"/>
      <c r="L96" s="15"/>
    </row>
    <row r="97" spans="1:12" ht="19.5" customHeight="1" x14ac:dyDescent="0.2">
      <c r="A97" s="5">
        <v>93</v>
      </c>
      <c r="B97" s="9" t="s">
        <v>20</v>
      </c>
      <c r="C97" s="60" t="s">
        <v>13</v>
      </c>
      <c r="D97" s="17"/>
      <c r="E97" s="15"/>
      <c r="F97" s="16"/>
      <c r="G97" s="15"/>
      <c r="H97" s="15"/>
      <c r="I97" s="15"/>
      <c r="J97" s="35"/>
      <c r="K97" s="15"/>
      <c r="L97" s="15"/>
    </row>
    <row r="98" spans="1:12" ht="19.5" customHeight="1" x14ac:dyDescent="0.2">
      <c r="A98" s="5">
        <v>94</v>
      </c>
      <c r="B98" s="9" t="s">
        <v>20</v>
      </c>
      <c r="C98" s="61"/>
      <c r="D98" s="17"/>
      <c r="E98" s="15"/>
      <c r="F98" s="16"/>
      <c r="G98" s="15"/>
      <c r="H98" s="15"/>
      <c r="I98" s="15"/>
      <c r="J98" s="35"/>
      <c r="K98" s="15"/>
      <c r="L98" s="15"/>
    </row>
    <row r="99" spans="1:12" ht="19.5" customHeight="1" x14ac:dyDescent="0.2">
      <c r="A99" s="5">
        <v>95</v>
      </c>
      <c r="B99" s="9" t="s">
        <v>20</v>
      </c>
      <c r="C99" s="60" t="s">
        <v>14</v>
      </c>
      <c r="D99" s="18"/>
      <c r="E99" s="15"/>
      <c r="F99" s="16"/>
      <c r="G99" s="15"/>
      <c r="H99" s="15"/>
      <c r="I99" s="15"/>
      <c r="J99" s="35"/>
      <c r="K99" s="15"/>
      <c r="L99" s="15"/>
    </row>
    <row r="100" spans="1:12" ht="19.5" customHeight="1" x14ac:dyDescent="0.2">
      <c r="A100" s="5">
        <v>96</v>
      </c>
      <c r="B100" s="9"/>
      <c r="C100" s="61"/>
      <c r="D100" s="18"/>
      <c r="E100" s="15"/>
      <c r="F100" s="16"/>
      <c r="G100" s="15"/>
      <c r="H100" s="15"/>
      <c r="I100" s="15"/>
      <c r="J100" s="35"/>
      <c r="K100" s="15"/>
      <c r="L100" s="15"/>
    </row>
    <row r="101" spans="1:12" ht="19.5" customHeight="1" x14ac:dyDescent="0.2">
      <c r="A101" s="5">
        <v>97</v>
      </c>
      <c r="B101" s="9" t="s">
        <v>20</v>
      </c>
      <c r="C101" s="59" t="s">
        <v>15</v>
      </c>
      <c r="D101" s="17"/>
      <c r="E101" s="15"/>
      <c r="F101" s="16"/>
      <c r="G101" s="15"/>
      <c r="H101" s="15"/>
      <c r="I101" s="15"/>
      <c r="J101" s="35"/>
      <c r="K101" s="15"/>
      <c r="L101" s="15"/>
    </row>
    <row r="102" spans="1:12" ht="19.5" customHeight="1" x14ac:dyDescent="0.2">
      <c r="A102" s="5">
        <v>98</v>
      </c>
      <c r="B102" s="9"/>
      <c r="C102" s="59"/>
      <c r="D102" s="17"/>
      <c r="E102" s="15"/>
      <c r="F102" s="15"/>
      <c r="G102" s="15"/>
      <c r="H102" s="15"/>
      <c r="I102" s="15"/>
      <c r="J102" s="35"/>
      <c r="K102" s="15"/>
      <c r="L102" s="15"/>
    </row>
    <row r="103" spans="1:12" ht="19.5" customHeight="1" x14ac:dyDescent="0.2">
      <c r="A103" s="5">
        <v>99</v>
      </c>
      <c r="B103" s="9" t="s">
        <v>20</v>
      </c>
      <c r="C103" s="59" t="s">
        <v>17</v>
      </c>
      <c r="D103" s="18"/>
      <c r="E103" s="15"/>
      <c r="F103" s="16"/>
      <c r="G103" s="15"/>
      <c r="H103" s="15"/>
      <c r="I103" s="15"/>
      <c r="J103" s="35"/>
      <c r="K103" s="15"/>
      <c r="L103" s="15"/>
    </row>
    <row r="104" spans="1:12" ht="19.5" customHeight="1" x14ac:dyDescent="0.2">
      <c r="A104" s="5">
        <v>100</v>
      </c>
      <c r="B104" s="9"/>
      <c r="C104" s="59"/>
      <c r="D104" s="18"/>
      <c r="E104" s="15"/>
      <c r="F104" s="16"/>
      <c r="G104" s="15"/>
      <c r="H104" s="15"/>
      <c r="I104" s="15"/>
      <c r="J104" s="35"/>
      <c r="K104" s="15"/>
      <c r="L104" s="15"/>
    </row>
    <row r="105" spans="1:12" ht="19.5" customHeight="1" x14ac:dyDescent="0.2">
      <c r="A105" s="5">
        <v>101</v>
      </c>
      <c r="B105" s="9" t="s">
        <v>20</v>
      </c>
      <c r="C105" s="60" t="s">
        <v>18</v>
      </c>
      <c r="D105" s="17"/>
      <c r="E105" s="15"/>
      <c r="F105" s="16"/>
      <c r="G105" s="15"/>
      <c r="H105" s="15"/>
      <c r="I105" s="15"/>
      <c r="J105" s="35"/>
      <c r="K105" s="15"/>
      <c r="L105" s="15"/>
    </row>
    <row r="106" spans="1:12" ht="19.5" customHeight="1" x14ac:dyDescent="0.2">
      <c r="A106" s="5">
        <v>102</v>
      </c>
      <c r="B106" s="9" t="s">
        <v>20</v>
      </c>
      <c r="C106" s="61"/>
      <c r="D106" s="17"/>
      <c r="E106" s="15"/>
      <c r="F106" s="16"/>
      <c r="G106" s="15"/>
      <c r="H106" s="15"/>
      <c r="I106" s="15"/>
      <c r="J106" s="35"/>
      <c r="K106" s="15"/>
      <c r="L106" s="15"/>
    </row>
    <row r="107" spans="1:12" ht="19.5" customHeight="1" x14ac:dyDescent="0.2">
      <c r="A107" s="5">
        <v>103</v>
      </c>
      <c r="B107" s="9"/>
      <c r="C107" s="61"/>
      <c r="D107" s="17"/>
      <c r="E107" s="15"/>
      <c r="F107" s="16"/>
      <c r="G107" s="15"/>
      <c r="H107" s="15"/>
      <c r="I107" s="15"/>
      <c r="J107" s="35"/>
      <c r="K107" s="15"/>
      <c r="L107" s="15"/>
    </row>
    <row r="108" spans="1:12" ht="19.5" customHeight="1" x14ac:dyDescent="0.2">
      <c r="A108" s="5">
        <v>104</v>
      </c>
      <c r="B108" s="9"/>
      <c r="C108" s="61"/>
      <c r="D108" s="17"/>
      <c r="E108" s="15"/>
      <c r="F108" s="16"/>
      <c r="G108" s="15"/>
      <c r="H108" s="15"/>
      <c r="I108" s="15"/>
      <c r="J108" s="35"/>
      <c r="K108" s="15"/>
      <c r="L108" s="15"/>
    </row>
    <row r="109" spans="1:12" ht="19.5" customHeight="1" x14ac:dyDescent="0.2">
      <c r="A109" s="5">
        <v>105</v>
      </c>
      <c r="B109" s="9" t="s">
        <v>20</v>
      </c>
      <c r="C109" s="59" t="s">
        <v>16</v>
      </c>
      <c r="D109" s="18"/>
      <c r="E109" s="15"/>
      <c r="F109" s="16"/>
      <c r="G109" s="15"/>
      <c r="H109" s="15"/>
      <c r="I109" s="15"/>
      <c r="J109" s="35"/>
      <c r="K109" s="15"/>
      <c r="L109" s="15"/>
    </row>
    <row r="110" spans="1:12" ht="19.5" customHeight="1" x14ac:dyDescent="0.2">
      <c r="A110" s="5">
        <v>106</v>
      </c>
      <c r="B110" s="9"/>
      <c r="C110" s="59"/>
      <c r="D110" s="18"/>
      <c r="E110" s="15"/>
      <c r="F110" s="16"/>
      <c r="G110" s="15"/>
      <c r="H110" s="15"/>
      <c r="I110" s="15"/>
      <c r="J110" s="35"/>
      <c r="K110" s="15"/>
      <c r="L110" s="15"/>
    </row>
    <row r="111" spans="1:12" ht="19.5" customHeight="1" x14ac:dyDescent="0.2">
      <c r="A111" s="5">
        <v>107</v>
      </c>
      <c r="B111" s="9" t="s">
        <v>20</v>
      </c>
      <c r="C111" s="59" t="s">
        <v>19</v>
      </c>
      <c r="D111" s="17"/>
      <c r="E111" s="15"/>
      <c r="F111" s="16"/>
      <c r="G111" s="15"/>
      <c r="H111" s="15"/>
      <c r="I111" s="15"/>
      <c r="J111" s="35"/>
      <c r="K111" s="15"/>
      <c r="L111" s="15"/>
    </row>
    <row r="112" spans="1:12" ht="19.5" customHeight="1" x14ac:dyDescent="0.2">
      <c r="A112" s="5">
        <v>108</v>
      </c>
      <c r="B112" s="9"/>
      <c r="C112" s="59"/>
      <c r="D112" s="17"/>
      <c r="E112" s="15"/>
      <c r="F112" s="16"/>
      <c r="G112" s="15"/>
      <c r="H112" s="15"/>
      <c r="I112" s="15"/>
      <c r="J112" s="35"/>
      <c r="K112" s="15"/>
      <c r="L112" s="15"/>
    </row>
    <row r="113" ht="19.5" customHeight="1" x14ac:dyDescent="0.2"/>
  </sheetData>
  <sheetProtection formatRows="0" selectLockedCells="1" selectUnlockedCells="1"/>
  <mergeCells count="54">
    <mergeCell ref="C2:D2"/>
    <mergeCell ref="E2:J2"/>
    <mergeCell ref="C101:C102"/>
    <mergeCell ref="C103:C104"/>
    <mergeCell ref="C105:C108"/>
    <mergeCell ref="C79:C80"/>
    <mergeCell ref="C81:C82"/>
    <mergeCell ref="C83:C84"/>
    <mergeCell ref="C85:C86"/>
    <mergeCell ref="C87:C90"/>
    <mergeCell ref="C67:C68"/>
    <mergeCell ref="C69:C72"/>
    <mergeCell ref="C73:C74"/>
    <mergeCell ref="C75:C76"/>
    <mergeCell ref="C77:C78"/>
    <mergeCell ref="C57:C58"/>
    <mergeCell ref="C109:C110"/>
    <mergeCell ref="C111:C112"/>
    <mergeCell ref="C91:C92"/>
    <mergeCell ref="C93:C94"/>
    <mergeCell ref="C95:C96"/>
    <mergeCell ref="C97:C98"/>
    <mergeCell ref="C99:C100"/>
    <mergeCell ref="C59:C60"/>
    <mergeCell ref="C61:C62"/>
    <mergeCell ref="C63:C64"/>
    <mergeCell ref="C65:C66"/>
    <mergeCell ref="C55:C56"/>
    <mergeCell ref="C51:C54"/>
    <mergeCell ref="C39:C40"/>
    <mergeCell ref="C27:C28"/>
    <mergeCell ref="C11:C12"/>
    <mergeCell ref="C21:C22"/>
    <mergeCell ref="C23:C24"/>
    <mergeCell ref="C25:C26"/>
    <mergeCell ref="C29:C30"/>
    <mergeCell ref="C31:C32"/>
    <mergeCell ref="C37:C38"/>
    <mergeCell ref="C33:C36"/>
    <mergeCell ref="C41:C42"/>
    <mergeCell ref="C43:C44"/>
    <mergeCell ref="C45:C46"/>
    <mergeCell ref="C47:C48"/>
    <mergeCell ref="C49:C50"/>
    <mergeCell ref="I3:L3"/>
    <mergeCell ref="C13:C14"/>
    <mergeCell ref="C9:C10"/>
    <mergeCell ref="C19:C20"/>
    <mergeCell ref="C5:C6"/>
    <mergeCell ref="C7:C8"/>
    <mergeCell ref="C15:C18"/>
    <mergeCell ref="D11:D12"/>
    <mergeCell ref="D13:D14"/>
    <mergeCell ref="D9:D10"/>
  </mergeCells>
  <phoneticPr fontId="1" type="noConversion"/>
  <conditionalFormatting sqref="G8">
    <cfRule type="cellIs" priority="22" stopIfTrue="1" operator="between">
      <formula>"OK"</formula>
      <formula>"OK"</formula>
    </cfRule>
  </conditionalFormatting>
  <conditionalFormatting sqref="G26">
    <cfRule type="cellIs" priority="5" stopIfTrue="1" operator="between">
      <formula>"OK"</formula>
      <formula>"OK"</formula>
    </cfRule>
  </conditionalFormatting>
  <conditionalFormatting sqref="G44">
    <cfRule type="cellIs" priority="4" stopIfTrue="1" operator="between">
      <formula>"OK"</formula>
      <formula>"OK"</formula>
    </cfRule>
  </conditionalFormatting>
  <conditionalFormatting sqref="G62">
    <cfRule type="cellIs" priority="3" stopIfTrue="1" operator="between">
      <formula>"OK"</formula>
      <formula>"OK"</formula>
    </cfRule>
  </conditionalFormatting>
  <conditionalFormatting sqref="G80">
    <cfRule type="cellIs" priority="2" stopIfTrue="1" operator="between">
      <formula>"OK"</formula>
      <formula>"OK"</formula>
    </cfRule>
  </conditionalFormatting>
  <conditionalFormatting sqref="G98">
    <cfRule type="cellIs" priority="1" stopIfTrue="1" operator="between">
      <formula>"OK"</formula>
      <formula>"OK"</formula>
    </cfRule>
  </conditionalFormatting>
  <dataValidations count="2">
    <dataValidation type="list" allowBlank="1" showInputMessage="1" showErrorMessage="1" sqref="H113:H65500">
      <formula1>"EL,EM,EG,OK,SUG"</formula1>
    </dataValidation>
    <dataValidation type="list" allowBlank="1" showInputMessage="1" showErrorMessage="1" sqref="J5:J112">
      <formula1>"EG,EM,EL,OK,PDTE,NA,OK/o"</formula1>
    </dataValidation>
  </dataValidations>
  <pageMargins left="0.19685039370078741" right="0.19685039370078741" top="0.19685039370078741" bottom="0.19685039370078741" header="0" footer="0"/>
  <pageSetup scale="71" orientation="landscape" horizontalDpi="4294967295"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C2:H19"/>
  <sheetViews>
    <sheetView zoomScale="115" zoomScaleNormal="115" workbookViewId="0">
      <selection activeCell="G8" sqref="G8"/>
    </sheetView>
  </sheetViews>
  <sheetFormatPr baseColWidth="10" defaultRowHeight="12.75" x14ac:dyDescent="0.2"/>
  <cols>
    <col min="1" max="1" width="3.5703125" style="13" customWidth="1"/>
    <col min="2" max="2" width="2.28515625" style="13" customWidth="1"/>
    <col min="3" max="3" width="22.7109375" style="13" customWidth="1"/>
    <col min="4" max="4" width="10.7109375" style="13" customWidth="1"/>
    <col min="5" max="5" width="8.42578125" style="13" customWidth="1"/>
    <col min="6" max="6" width="16" style="13" customWidth="1"/>
    <col min="7" max="7" width="15.85546875" style="13" customWidth="1"/>
    <col min="8" max="8" width="21.28515625" style="13" customWidth="1"/>
    <col min="9" max="16384" width="11.42578125" style="13"/>
  </cols>
  <sheetData>
    <row r="2" spans="3:8" ht="9.75" customHeight="1" x14ac:dyDescent="0.2"/>
    <row r="3" spans="3:8" ht="9.75" customHeight="1" x14ac:dyDescent="0.2"/>
    <row r="4" spans="3:8" ht="9.75" customHeight="1" x14ac:dyDescent="0.2">
      <c r="C4" s="38"/>
      <c r="D4" s="39"/>
      <c r="E4" s="39"/>
      <c r="F4" s="39"/>
      <c r="G4" s="39"/>
      <c r="H4" s="40"/>
    </row>
    <row r="5" spans="3:8" ht="15" customHeight="1" x14ac:dyDescent="0.3">
      <c r="C5" s="82"/>
      <c r="D5" s="80" t="s">
        <v>29</v>
      </c>
      <c r="E5" s="80"/>
      <c r="F5" s="80"/>
      <c r="G5" s="14" t="s">
        <v>77</v>
      </c>
      <c r="H5" s="41"/>
    </row>
    <row r="6" spans="3:8" ht="15" customHeight="1" x14ac:dyDescent="0.3">
      <c r="C6" s="83"/>
      <c r="D6" s="80" t="s">
        <v>30</v>
      </c>
      <c r="E6" s="80"/>
      <c r="F6" s="80"/>
      <c r="G6" s="14" t="s">
        <v>78</v>
      </c>
      <c r="H6" s="41"/>
    </row>
    <row r="7" spans="3:8" ht="14.25" customHeight="1" x14ac:dyDescent="0.3">
      <c r="C7" s="83"/>
      <c r="D7" s="80" t="s">
        <v>31</v>
      </c>
      <c r="E7" s="80"/>
      <c r="F7" s="80"/>
      <c r="G7" s="14" t="s">
        <v>79</v>
      </c>
      <c r="H7" s="41"/>
    </row>
    <row r="8" spans="3:8" ht="15" customHeight="1" x14ac:dyDescent="0.3">
      <c r="C8" s="84"/>
      <c r="D8" s="81" t="s">
        <v>32</v>
      </c>
      <c r="E8" s="81"/>
      <c r="F8" s="81"/>
      <c r="G8" s="14" t="s">
        <v>80</v>
      </c>
      <c r="H8" s="41"/>
    </row>
    <row r="9" spans="3:8" ht="15.75" customHeight="1" x14ac:dyDescent="0.35">
      <c r="C9" s="42" t="s">
        <v>61</v>
      </c>
      <c r="D9" s="85" t="s">
        <v>43</v>
      </c>
      <c r="E9" s="86"/>
      <c r="F9" s="86"/>
      <c r="G9" s="86"/>
      <c r="H9" s="87"/>
    </row>
    <row r="10" spans="3:8" ht="14.25" customHeight="1" x14ac:dyDescent="0.3">
      <c r="C10" s="43" t="s">
        <v>58</v>
      </c>
      <c r="D10" s="45">
        <f>COUNTIF('Casos de Prueba '!$J$5:$J$9999,"EG")</f>
        <v>0</v>
      </c>
      <c r="E10" s="48" t="e">
        <f t="shared" ref="E10:E16" si="0">(D10/$D$17)*100</f>
        <v>#DIV/0!</v>
      </c>
      <c r="F10" s="74"/>
      <c r="G10" s="75"/>
      <c r="H10" s="76"/>
    </row>
    <row r="11" spans="3:8" ht="14.25" customHeight="1" x14ac:dyDescent="0.3">
      <c r="C11" s="43" t="s">
        <v>33</v>
      </c>
      <c r="D11" s="45">
        <f>COUNTIF('Casos de Prueba '!$J$5:$J$9999,"EM")</f>
        <v>0</v>
      </c>
      <c r="E11" s="48" t="e">
        <f t="shared" si="0"/>
        <v>#DIV/0!</v>
      </c>
      <c r="F11" s="77"/>
      <c r="G11" s="78"/>
      <c r="H11" s="79"/>
    </row>
    <row r="12" spans="3:8" ht="14.25" customHeight="1" x14ac:dyDescent="0.3">
      <c r="C12" s="43" t="s">
        <v>55</v>
      </c>
      <c r="D12" s="45">
        <f>COUNTIF('Casos de Prueba '!$J$5:$J$9999,"EL")</f>
        <v>0</v>
      </c>
      <c r="E12" s="48" t="e">
        <f t="shared" si="0"/>
        <v>#DIV/0!</v>
      </c>
      <c r="F12" s="77"/>
      <c r="G12" s="78"/>
      <c r="H12" s="79"/>
    </row>
    <row r="13" spans="3:8" ht="15" customHeight="1" x14ac:dyDescent="0.3">
      <c r="C13" s="43" t="s">
        <v>1</v>
      </c>
      <c r="D13" s="45">
        <f>COUNTIF('Casos de Prueba '!$J$5:$J$9999,"OK")</f>
        <v>0</v>
      </c>
      <c r="E13" s="48" t="e">
        <f t="shared" si="0"/>
        <v>#DIV/0!</v>
      </c>
      <c r="F13" s="77"/>
      <c r="G13" s="78"/>
      <c r="H13" s="79"/>
    </row>
    <row r="14" spans="3:8" ht="14.25" customHeight="1" x14ac:dyDescent="0.3">
      <c r="C14" s="43" t="s">
        <v>56</v>
      </c>
      <c r="D14" s="45">
        <f>COUNTIF('Casos de Prueba '!$J$5:$J$9999,"PDTE")</f>
        <v>0</v>
      </c>
      <c r="E14" s="48" t="e">
        <f t="shared" si="0"/>
        <v>#DIV/0!</v>
      </c>
      <c r="F14" s="77"/>
      <c r="G14" s="78"/>
      <c r="H14" s="79"/>
    </row>
    <row r="15" spans="3:8" ht="14.25" customHeight="1" x14ac:dyDescent="0.3">
      <c r="C15" s="43" t="s">
        <v>57</v>
      </c>
      <c r="D15" s="45">
        <f>COUNTIF('Casos de Prueba '!$J$5:$J$9999,"NA")</f>
        <v>0</v>
      </c>
      <c r="E15" s="48" t="e">
        <f t="shared" si="0"/>
        <v>#DIV/0!</v>
      </c>
      <c r="F15" s="77"/>
      <c r="G15" s="78"/>
      <c r="H15" s="79"/>
    </row>
    <row r="16" spans="3:8" ht="15" customHeight="1" thickBot="1" x14ac:dyDescent="0.35">
      <c r="C16" s="43" t="s">
        <v>59</v>
      </c>
      <c r="D16" s="45">
        <f>COUNTIF('Casos de Prueba '!$J$5:$J$9999,"OK/o")</f>
        <v>0</v>
      </c>
      <c r="E16" s="49" t="e">
        <f t="shared" si="0"/>
        <v>#DIV/0!</v>
      </c>
      <c r="F16" s="77"/>
      <c r="G16" s="78"/>
      <c r="H16" s="79"/>
    </row>
    <row r="17" spans="3:8" ht="14.25" x14ac:dyDescent="0.3">
      <c r="C17" s="44" t="s">
        <v>64</v>
      </c>
      <c r="D17" s="46">
        <f>COUNTA('Casos de Prueba '!J$5:J$9999)</f>
        <v>0</v>
      </c>
      <c r="E17" s="88" t="e">
        <f>SUM(E10,E11,E12,E13,E15,E16)</f>
        <v>#DIV/0!</v>
      </c>
      <c r="F17" s="78"/>
      <c r="G17" s="78"/>
      <c r="H17" s="79"/>
    </row>
    <row r="18" spans="3:8" ht="14.25" customHeight="1" thickBot="1" x14ac:dyDescent="0.35">
      <c r="C18" s="44" t="s">
        <v>63</v>
      </c>
      <c r="D18" s="47">
        <f>SUM(D10,D11,D12,D13,D15,D16)</f>
        <v>0</v>
      </c>
      <c r="E18" s="89"/>
      <c r="F18" s="78"/>
      <c r="G18" s="78"/>
      <c r="H18" s="79"/>
    </row>
    <row r="19" spans="3:8" ht="20.25" customHeight="1" x14ac:dyDescent="0.25">
      <c r="C19" s="70" t="s">
        <v>62</v>
      </c>
      <c r="D19" s="71"/>
      <c r="E19" s="72"/>
      <c r="F19" s="71"/>
      <c r="G19" s="71"/>
      <c r="H19" s="73"/>
    </row>
  </sheetData>
  <protectedRanges>
    <protectedRange sqref="D10:D18" name="Rango1" securityDescriptor="O:WDG:WDD:(A;;CC;;;S-1-5-21-30833519-438201673-1537874043-26710)(A;;CC;;;S-1-5-21-30833519-438201673-1537874043-27574)"/>
  </protectedRanges>
  <mergeCells count="9">
    <mergeCell ref="C19:H19"/>
    <mergeCell ref="F10:H18"/>
    <mergeCell ref="D7:F7"/>
    <mergeCell ref="D8:F8"/>
    <mergeCell ref="C5:C8"/>
    <mergeCell ref="D5:F5"/>
    <mergeCell ref="D6:F6"/>
    <mergeCell ref="D9:H9"/>
    <mergeCell ref="E17:E18"/>
  </mergeCells>
  <hyperlinks>
    <hyperlink ref="C19:H19" r:id="rId1" display="REPOSITORIO DOCUMENTACIÓN ÁREA QA:  \\LH-QAREP\Repositorio de Certificaciones Q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B1:D11"/>
  <sheetViews>
    <sheetView workbookViewId="0">
      <selection activeCell="C15" sqref="C15"/>
    </sheetView>
  </sheetViews>
  <sheetFormatPr baseColWidth="10" defaultRowHeight="12.75" x14ac:dyDescent="0.2"/>
  <cols>
    <col min="1" max="1" width="6.85546875" style="13" customWidth="1"/>
    <col min="2" max="2" width="5.85546875" style="13" customWidth="1"/>
    <col min="3" max="3" width="112.85546875" style="13" customWidth="1"/>
    <col min="4" max="4" width="18.42578125" style="13" customWidth="1"/>
    <col min="5" max="16384" width="11.42578125" style="13"/>
  </cols>
  <sheetData>
    <row r="1" spans="2:4" ht="36" customHeight="1" x14ac:dyDescent="0.2"/>
    <row r="2" spans="2:4" ht="50.25" customHeight="1" thickBot="1" x14ac:dyDescent="0.25"/>
    <row r="3" spans="2:4" ht="15" thickBot="1" x14ac:dyDescent="0.35">
      <c r="B3" s="94" t="s">
        <v>26</v>
      </c>
      <c r="C3" s="95"/>
      <c r="D3" s="96"/>
    </row>
    <row r="4" spans="2:4" ht="13.5" thickBot="1" x14ac:dyDescent="0.25"/>
    <row r="5" spans="2:4" ht="27" customHeight="1" x14ac:dyDescent="0.2">
      <c r="B5" s="24" t="s">
        <v>50</v>
      </c>
      <c r="C5" s="97" t="s">
        <v>27</v>
      </c>
      <c r="D5" s="98"/>
    </row>
    <row r="6" spans="2:4" ht="29.25" customHeight="1" x14ac:dyDescent="0.2">
      <c r="B6" s="25" t="s">
        <v>3</v>
      </c>
      <c r="C6" s="92" t="s">
        <v>28</v>
      </c>
      <c r="D6" s="93"/>
    </row>
    <row r="7" spans="2:4" ht="33" customHeight="1" x14ac:dyDescent="0.2">
      <c r="B7" s="26" t="s">
        <v>2</v>
      </c>
      <c r="C7" s="92" t="s">
        <v>54</v>
      </c>
      <c r="D7" s="93"/>
    </row>
    <row r="8" spans="2:4" ht="28.5" customHeight="1" x14ac:dyDescent="0.2">
      <c r="B8" s="27" t="s">
        <v>1</v>
      </c>
      <c r="C8" s="92" t="s">
        <v>53</v>
      </c>
      <c r="D8" s="93"/>
    </row>
    <row r="9" spans="2:4" ht="30" customHeight="1" x14ac:dyDescent="0.2">
      <c r="B9" s="28" t="s">
        <v>4</v>
      </c>
      <c r="C9" s="92" t="s">
        <v>52</v>
      </c>
      <c r="D9" s="93"/>
    </row>
    <row r="10" spans="2:4" ht="26.25" customHeight="1" x14ac:dyDescent="0.2">
      <c r="B10" s="30" t="s">
        <v>5</v>
      </c>
      <c r="C10" s="92" t="s">
        <v>51</v>
      </c>
      <c r="D10" s="93"/>
    </row>
    <row r="11" spans="2:4" ht="26.25" customHeight="1" thickBot="1" x14ac:dyDescent="0.25">
      <c r="B11" s="29" t="s">
        <v>59</v>
      </c>
      <c r="C11" s="90" t="s">
        <v>60</v>
      </c>
      <c r="D11" s="91"/>
    </row>
  </sheetData>
  <sheetProtection password="C9F3" sheet="1" formatCells="0" formatColumns="0" formatRows="0" insertColumns="0" insertRows="0" insertHyperlinks="0" deleteColumns="0" deleteRows="0" selectLockedCells="1" sort="0" autoFilter="0" pivotTables="0" selectUnlockedCells="1"/>
  <mergeCells count="8">
    <mergeCell ref="C11:D11"/>
    <mergeCell ref="C9:D9"/>
    <mergeCell ref="C10:D10"/>
    <mergeCell ref="B3:D3"/>
    <mergeCell ref="C5:D5"/>
    <mergeCell ref="C6:D6"/>
    <mergeCell ref="C7:D7"/>
    <mergeCell ref="C8:D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44A3A777946C14F9140FB30C3274262" ma:contentTypeVersion="1" ma:contentTypeDescription="Crear nuevo documento." ma:contentTypeScope="" ma:versionID="680d7739a2cf311509b114cb610cda1e">
  <xsd:schema xmlns:xsd="http://www.w3.org/2001/XMLSchema" xmlns:p="http://schemas.microsoft.com/office/2006/metadata/properties" xmlns:ns2="d00cc7a4-b2ac-49b0-9538-7451e378f9a5" targetNamespace="http://schemas.microsoft.com/office/2006/metadata/properties" ma:root="true" ma:fieldsID="3f3adcabadf9f9eb4c270024ec7b824c" ns2:_="">
    <xsd:import namespace="d00cc7a4-b2ac-49b0-9538-7451e378f9a5"/>
    <xsd:element name="properties">
      <xsd:complexType>
        <xsd:sequence>
          <xsd:element name="documentManagement">
            <xsd:complexType>
              <xsd:all>
                <xsd:element ref="ns2:Proceso" minOccurs="0"/>
              </xsd:all>
            </xsd:complexType>
          </xsd:element>
        </xsd:sequence>
      </xsd:complexType>
    </xsd:element>
  </xsd:schema>
  <xsd:schema xmlns:xsd="http://www.w3.org/2001/XMLSchema" xmlns:dms="http://schemas.microsoft.com/office/2006/documentManagement/types" targetNamespace="d00cc7a4-b2ac-49b0-9538-7451e378f9a5" elementFormDefault="qualified">
    <xsd:import namespace="http://schemas.microsoft.com/office/2006/documentManagement/types"/>
    <xsd:element name="Proceso" ma:index="8" nillable="true" ma:displayName="Proceso" ma:default="PREVENTA" ma:description="Ingrese el proceso que corresponde el documento" ma:format="Dropdown" ma:internalName="Proceso">
      <xsd:simpleType>
        <xsd:restriction base="dms:Choice">
          <xsd:enumeration value="PREVENTA"/>
          <xsd:enumeration value="ANÁLISIS Y DISEÑO"/>
          <xsd:enumeration value="CONTRUCCIÓN"/>
          <xsd:enumeration value="TESTING"/>
          <xsd:enumeration value="IMPLEMENTACIÓN"/>
          <xsd:enumeration value="GESTIÓN DE PROYECTOS"/>
          <xsd:enumeration value="GSTIÓN DE PERSONAS"/>
          <xsd:enumeration value="ASEGURAMIENTO DE LA CALIDAD"/>
          <xsd:enumeration value="OTRO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ma:readOnly="true"/>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roceso xmlns="d00cc7a4-b2ac-49b0-9538-7451e378f9a5">PREVENTA</Proceso>
  </documentManagement>
</p:properties>
</file>

<file path=customXml/itemProps1.xml><?xml version="1.0" encoding="utf-8"?>
<ds:datastoreItem xmlns:ds="http://schemas.openxmlformats.org/officeDocument/2006/customXml" ds:itemID="{BCA72B47-ECA9-471E-A036-85EFB684A102}">
  <ds:schemaRefs>
    <ds:schemaRef ds:uri="http://schemas.microsoft.com/office/2006/metadata/longProperties"/>
  </ds:schemaRefs>
</ds:datastoreItem>
</file>

<file path=customXml/itemProps2.xml><?xml version="1.0" encoding="utf-8"?>
<ds:datastoreItem xmlns:ds="http://schemas.openxmlformats.org/officeDocument/2006/customXml" ds:itemID="{A49AB89C-0E8B-4207-8C33-963F7D6926CF}">
  <ds:schemaRefs>
    <ds:schemaRef ds:uri="http://schemas.microsoft.com/sharepoint/v3/contenttype/forms"/>
  </ds:schemaRefs>
</ds:datastoreItem>
</file>

<file path=customXml/itemProps3.xml><?xml version="1.0" encoding="utf-8"?>
<ds:datastoreItem xmlns:ds="http://schemas.openxmlformats.org/officeDocument/2006/customXml" ds:itemID="{8830A9BC-70F7-4EA8-9860-DFFDA5FADD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0cc7a4-b2ac-49b0-9538-7451e378f9a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3B06CD70-7FE1-4957-B5D8-3A8ABE85354B}">
  <ds:schemaRefs>
    <ds:schemaRef ds:uri="http://purl.org/dc/terms/"/>
    <ds:schemaRef ds:uri="http://purl.org/dc/elements/1.1/"/>
    <ds:schemaRef ds:uri="http://www.w3.org/XML/1998/namespace"/>
    <ds:schemaRef ds:uri="d00cc7a4-b2ac-49b0-9538-7451e378f9a5"/>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Historial de Certificación </vt:lpstr>
      <vt:lpstr>Casos de Prueba </vt:lpstr>
      <vt:lpstr>Detalle General QA</vt:lpstr>
      <vt:lpstr>Descripción de Errores </vt:lpstr>
    </vt:vector>
  </TitlesOfParts>
  <Company>Banco de Chile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Silva V.</dc:creator>
  <cp:lastModifiedBy>Tempo</cp:lastModifiedBy>
  <cp:lastPrinted>2007-09-05T15:06:26Z</cp:lastPrinted>
  <dcterms:created xsi:type="dcterms:W3CDTF">2006-11-27T19:21:58Z</dcterms:created>
  <dcterms:modified xsi:type="dcterms:W3CDTF">2017-04-24T15:08:01Z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scripción">
    <vt:lpwstr/>
  </property>
  <property fmtid="{D5CDD505-2E9C-101B-9397-08002B2CF9AE}" pid="3" name="ContentType">
    <vt:lpwstr>Document</vt:lpwstr>
  </property>
</Properties>
</file>